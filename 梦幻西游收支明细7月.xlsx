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60" windowHeight="7485"/>
  </bookViews>
  <sheets>
    <sheet name="支出明细表" sheetId="1" r:id="rId1"/>
    <sheet name="游戏变现收入明细表" sheetId="2" r:id="rId2"/>
    <sheet name="成本核算汇总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<sst xmlns="http://schemas.openxmlformats.org/spreadsheetml/2006/main" count="171" uniqueCount="94">
  <si>
    <t>梦幻西游 · 支出明细表（黄色行为新增录入区）</t>
  </si>
  <si>
    <t>分类</t>
  </si>
  <si>
    <t>明细项目</t>
  </si>
  <si>
    <t>金额 (元)</t>
  </si>
  <si>
    <t>备注</t>
  </si>
  <si>
    <t>▌角色账号购置</t>
  </si>
  <si>
    <t>角色账号购置</t>
  </si>
  <si>
    <t>巨魔王一号</t>
  </si>
  <si>
    <t>男角色</t>
  </si>
  <si>
    <t>骨精灵</t>
  </si>
  <si>
    <t>女角色</t>
  </si>
  <si>
    <t>杀破狼</t>
  </si>
  <si>
    <t>巨魔王二号</t>
  </si>
  <si>
    <t>主号男角色</t>
  </si>
  <si>
    <t>主力账号</t>
  </si>
  <si>
    <t/>
  </si>
  <si>
    <t>账号小计</t>
  </si>
  <si>
    <t>5 个账号 + 新增合计</t>
  </si>
  <si>
    <t>▌点卡相关</t>
  </si>
  <si>
    <t>点卡相关</t>
  </si>
  <si>
    <t>30 元点卡</t>
  </si>
  <si>
    <t>原拆分点卡</t>
  </si>
  <si>
    <t>20 元点卡</t>
  </si>
  <si>
    <t>5 元点卡</t>
  </si>
  <si>
    <t>10 元补充点卡</t>
  </si>
  <si>
    <t>漏算补充</t>
  </si>
  <si>
    <t>25 元追加点卡</t>
  </si>
  <si>
    <t>后期新增</t>
  </si>
  <si>
    <t>300 元月卡</t>
  </si>
  <si>
    <t>第一轮月卡</t>
  </si>
  <si>
    <t>小号点卡第一轮</t>
  </si>
  <si>
    <t>小号点卡 30*5支付优惠</t>
  </si>
  <si>
    <t>点卡小计</t>
  </si>
  <si>
    <t>全部点卡充值合计</t>
  </si>
  <si>
    <t>▌召唤兽采购</t>
  </si>
  <si>
    <t>召唤兽采购</t>
  </si>
  <si>
    <t>蓝书力宠画魂</t>
  </si>
  <si>
    <t>力宠</t>
  </si>
  <si>
    <t>力宠蝴蝶仙子</t>
  </si>
  <si>
    <t>力宠吸血鬼</t>
  </si>
  <si>
    <t>力宠龙鲤</t>
  </si>
  <si>
    <t>购入法宠</t>
  </si>
  <si>
    <t>法宠（后续卖出）</t>
  </si>
  <si>
    <t>购宠小计</t>
  </si>
  <si>
    <t>宠物采购总花费</t>
  </si>
  <si>
    <t>▌装备采购</t>
  </si>
  <si>
    <t>装备采购</t>
  </si>
  <si>
    <t>主号武器</t>
  </si>
  <si>
    <t>主力角色装备</t>
  </si>
  <si>
    <t>主号鞋子</t>
  </si>
  <si>
    <t>4 角色 100 级国标武器</t>
  </si>
  <si>
    <t>其余小号武器</t>
  </si>
  <si>
    <t>装备小计</t>
  </si>
  <si>
    <t>装备总花费</t>
  </si>
  <si>
    <t>全部支出合计</t>
  </si>
  <si>
    <t>所有板块总支出</t>
  </si>
  <si>
    <t>📌 操作说明：在黄色底纹行录入新支出，金额填入 C 列，小计和合计自动更新。</t>
  </si>
  <si>
    <t>📌 如需更多行：右键插入行 → 从上方黄色行复制格式即可。</t>
  </si>
  <si>
    <t>梦幻西游 · 游戏变现收入明细表（黄色行为新增录入区）</t>
  </si>
  <si>
    <t>收入分类</t>
  </si>
  <si>
    <t>变现项目</t>
  </si>
  <si>
    <t>▌宠物变现</t>
  </si>
  <si>
    <t>宠物变现</t>
  </si>
  <si>
    <t>出售法宠回款</t>
  </si>
  <si>
    <t>采购法宠卖出收入</t>
  </si>
  <si>
    <t>宠物小计</t>
  </si>
  <si>
    <t>▌物资变现</t>
  </si>
  <si>
    <t>物资变现</t>
  </si>
  <si>
    <t>第一坨菜售卖</t>
  </si>
  <si>
    <t>游戏产出物资</t>
  </si>
  <si>
    <t>小菜 1</t>
  </si>
  <si>
    <t>新增变现</t>
  </si>
  <si>
    <t>小菜 2</t>
  </si>
  <si>
    <t>小菜 3</t>
  </si>
  <si>
    <t>小菜4</t>
  </si>
  <si>
    <t>物资小计</t>
  </si>
  <si>
    <t>全部变现总收入</t>
  </si>
  <si>
    <t>所有回款合计</t>
  </si>
  <si>
    <t>📌 操作说明：在黄色底纹行录入新收入，金额填入 C 列，小计和合计自动更新。</t>
  </si>
  <si>
    <t>梦幻西游 · 成本核算汇总表（自动计算）</t>
  </si>
  <si>
    <t>核算项目</t>
  </si>
  <si>
    <t>说明</t>
  </si>
  <si>
    <t>游戏总支出</t>
  </si>
  <si>
    <t>全部账号、点卡、宠物、装备花销</t>
  </si>
  <si>
    <t>减：游戏变现总收入</t>
  </si>
  <si>
    <t>卖宠、卖游戏物资全部回款</t>
  </si>
  <si>
    <t>最新实际净投入</t>
  </si>
  <si>
    <t>扣除变现后自付成本</t>
  </si>
  <si>
    <t>📌 补充说明</t>
  </si>
  <si>
    <t>① 原文档内 1102 元已全部分拆至各细分条目，不再单独统计；</t>
  </si>
  <si>
    <t>② 25 元追加点卡、300 元月卡统一归类点卡类目；</t>
  </si>
  <si>
    <t>③ 本次新增 2 笔小菜变现收入，单份 67.45 元，合计 134.9 元；</t>
  </si>
  <si>
    <t>④ 本表净投入自动引用「支出」和「收入」两个工作表的合计，无需手动修改；</t>
  </si>
  <si>
    <t>⑤ 在「支出明细表」或「游戏变现收入明细表」录入新数据后，此表自动更新。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</si>
</sst>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2"/>
      <color rgb="FFC00000"/>
      <name val="微软雅黑"/>
      <charset val="134"/>
    </font>
    <font>
      <b/>
      <sz val="12"/>
      <color rgb="FF1F4E79"/>
      <name val="微软雅黑"/>
      <charset val="134"/>
    </font>
    <font>
      <sz val="11"/>
      <color rgb="FF666666"/>
      <name val="微软雅黑"/>
      <charset val="134"/>
    </font>
    <font>
      <b/>
      <sz val="11"/>
      <color rgb="FF1F4E79"/>
      <name val="微软雅黑"/>
      <charset val="134"/>
    </font>
    <font>
      <sz val="11"/>
      <color rgb="FF999999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CDD2"/>
        <bgColor rgb="FFFFCDD2"/>
      </patternFill>
    </fill>
    <fill>
      <patternFill patternType="solid">
        <fgColor rgb="FFD6E4F0"/>
        <bgColor rgb="FFD6E4F0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/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/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8" fillId="7" borderId="1" xfId="0" applyFont="1" applyFill="1" applyBorder="1"/>
    <xf numFmtId="4" fontId="8" fillId="7" borderId="1" xfId="0" applyNumberFormat="1" applyFont="1" applyFill="1" applyBorder="1"/>
    <xf numFmtId="0" fontId="9" fillId="8" borderId="1" xfId="0" applyFont="1" applyFill="1" applyBorder="1" applyAlignment="1">
      <alignment horizontal="center" vertical="center" wrapText="1"/>
    </xf>
    <xf numFmtId="4" fontId="9" fillId="8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C53" sqref="C53"/>
    </sheetView>
  </sheetViews>
  <sheetFormatPr defaultColWidth="9" defaultRowHeight="13.5" outlineLevelCol="3"/>
  <cols>
    <col min="1" max="1" width="20" customWidth="1"/>
    <col min="2" max="2" width="30" customWidth="1"/>
    <col min="3" max="3" width="16" customWidth="1"/>
    <col min="4" max="4" width="30" customWidth="1"/>
  </cols>
  <sheetData>
    <row r="1" ht="38" customHeight="1" spans="1:4">
      <c r="A1" s="1" t="s">
        <v>0</v>
      </c>
    </row>
    <row r="2" ht="28" customHeight="1" spans="1:4">
      <c r="A2" s="2" t="s">
        <v>1</v>
      </c>
      <c r="B2" s="2" t="s">
        <v>2</v>
      </c>
      <c r="C2" s="3" t="s">
        <v>3</v>
      </c>
      <c r="D2" s="2" t="s">
        <v>4</v>
      </c>
    </row>
    <row r="3" ht="26" customHeight="1" spans="1:4">
      <c r="A3" s="16" t="s">
        <v>5</v>
      </c>
      <c r="B3" s="17"/>
      <c r="C3" s="17"/>
      <c r="D3" s="17"/>
    </row>
    <row r="4" ht="16.5" spans="1:4">
      <c r="A4" s="9" t="s">
        <v>6</v>
      </c>
      <c r="B4" s="9" t="s">
        <v>7</v>
      </c>
      <c r="C4" s="8">
        <v>391.9</v>
      </c>
      <c r="D4" s="9" t="s">
        <v>8</v>
      </c>
    </row>
    <row r="5" ht="16.5" spans="1:4">
      <c r="A5" s="9" t="s">
        <v>6</v>
      </c>
      <c r="B5" s="9" t="s">
        <v>9</v>
      </c>
      <c r="C5" s="8">
        <v>400</v>
      </c>
      <c r="D5" s="9" t="s">
        <v>10</v>
      </c>
    </row>
    <row r="6" ht="16.5" spans="1:4">
      <c r="A6" s="9" t="s">
        <v>6</v>
      </c>
      <c r="B6" s="9" t="s">
        <v>11</v>
      </c>
      <c r="C6" s="8">
        <v>519</v>
      </c>
      <c r="D6" s="9" t="s">
        <v>8</v>
      </c>
    </row>
    <row r="7" ht="16.5" spans="1:4">
      <c r="A7" s="9" t="s">
        <v>6</v>
      </c>
      <c r="B7" s="9" t="s">
        <v>12</v>
      </c>
      <c r="C7" s="8">
        <v>500</v>
      </c>
      <c r="D7" s="9" t="s">
        <v>8</v>
      </c>
    </row>
    <row r="8" ht="16.5" spans="1:4">
      <c r="A8" s="9" t="s">
        <v>6</v>
      </c>
      <c r="B8" s="9" t="s">
        <v>13</v>
      </c>
      <c r="C8" s="8">
        <v>866</v>
      </c>
      <c r="D8" s="9" t="s">
        <v>14</v>
      </c>
    </row>
    <row r="9" ht="16.5" spans="1:4">
      <c r="A9" s="18" t="s">
        <v>6</v>
      </c>
      <c r="B9" s="18"/>
      <c r="C9" s="19"/>
      <c r="D9" s="18"/>
    </row>
    <row r="10" ht="16.5" spans="1:4">
      <c r="A10" s="18" t="s">
        <v>6</v>
      </c>
      <c r="B10" s="18"/>
      <c r="C10" s="19"/>
      <c r="D10" s="18"/>
    </row>
    <row r="11" ht="16.5" spans="1:4">
      <c r="A11" s="18" t="s">
        <v>6</v>
      </c>
      <c r="B11" s="18"/>
      <c r="C11" s="19"/>
      <c r="D11" s="18"/>
    </row>
    <row r="12" ht="16.5" spans="1:4">
      <c r="A12" s="18" t="s">
        <v>6</v>
      </c>
      <c r="B12" s="18"/>
      <c r="C12" s="19"/>
      <c r="D12" s="18"/>
    </row>
    <row r="13" ht="16.5" spans="1:4">
      <c r="A13" s="18" t="s">
        <v>6</v>
      </c>
      <c r="B13" s="18"/>
      <c r="C13" s="19"/>
      <c r="D13" s="18"/>
    </row>
    <row r="14" ht="15" spans="1:4">
      <c r="A14" s="20" t="s">
        <v>15</v>
      </c>
      <c r="B14" s="20" t="s">
        <v>16</v>
      </c>
      <c r="C14" s="21">
        <f>SUM(C4:C13)</f>
        <v>2676.9</v>
      </c>
      <c r="D14" s="20" t="s">
        <v>17</v>
      </c>
    </row>
    <row r="15" ht="26" customHeight="1" spans="1:4">
      <c r="A15" s="16" t="s">
        <v>18</v>
      </c>
      <c r="B15" s="17"/>
      <c r="C15" s="17"/>
      <c r="D15" s="17"/>
    </row>
    <row r="16" ht="16.5" spans="1:4">
      <c r="A16" s="9" t="s">
        <v>19</v>
      </c>
      <c r="B16" s="9" t="s">
        <v>20</v>
      </c>
      <c r="C16" s="8">
        <v>30</v>
      </c>
      <c r="D16" s="9" t="s">
        <v>21</v>
      </c>
    </row>
    <row r="17" ht="16.5" spans="1:4">
      <c r="A17" s="9" t="s">
        <v>19</v>
      </c>
      <c r="B17" s="9" t="s">
        <v>22</v>
      </c>
      <c r="C17" s="8">
        <v>20</v>
      </c>
      <c r="D17" s="9" t="s">
        <v>21</v>
      </c>
    </row>
    <row r="18" ht="16.5" spans="1:4">
      <c r="A18" s="9" t="s">
        <v>19</v>
      </c>
      <c r="B18" s="9" t="s">
        <v>23</v>
      </c>
      <c r="C18" s="8">
        <v>5</v>
      </c>
      <c r="D18" s="9" t="s">
        <v>21</v>
      </c>
    </row>
    <row r="19" ht="16.5" spans="1:4">
      <c r="A19" s="9" t="s">
        <v>19</v>
      </c>
      <c r="B19" s="9" t="s">
        <v>23</v>
      </c>
      <c r="C19" s="8">
        <v>5</v>
      </c>
      <c r="D19" s="9" t="s">
        <v>21</v>
      </c>
    </row>
    <row r="20" ht="16.5" spans="1:4">
      <c r="A20" s="9" t="s">
        <v>19</v>
      </c>
      <c r="B20" s="9" t="s">
        <v>23</v>
      </c>
      <c r="C20" s="8">
        <v>5</v>
      </c>
      <c r="D20" s="9" t="s">
        <v>21</v>
      </c>
    </row>
    <row r="21" ht="16.5" spans="1:4">
      <c r="A21" s="9" t="s">
        <v>19</v>
      </c>
      <c r="B21" s="9" t="s">
        <v>24</v>
      </c>
      <c r="C21" s="8">
        <v>10</v>
      </c>
      <c r="D21" s="9" t="s">
        <v>25</v>
      </c>
    </row>
    <row r="22" ht="16.5" spans="1:4">
      <c r="A22" s="9" t="s">
        <v>19</v>
      </c>
      <c r="B22" s="9" t="s">
        <v>26</v>
      </c>
      <c r="C22" s="8">
        <v>25</v>
      </c>
      <c r="D22" s="9" t="s">
        <v>27</v>
      </c>
    </row>
    <row r="23" ht="16.5" spans="1:4">
      <c r="A23" s="9" t="s">
        <v>19</v>
      </c>
      <c r="B23" s="9" t="s">
        <v>28</v>
      </c>
      <c r="C23" s="8">
        <v>300</v>
      </c>
      <c r="D23" s="9" t="s">
        <v>29</v>
      </c>
    </row>
    <row r="24" ht="16.5" spans="1:4">
      <c r="A24" s="18" t="s">
        <v>19</v>
      </c>
      <c r="B24" s="18" t="s">
        <v>30</v>
      </c>
      <c r="C24" s="8">
        <v>125</v>
      </c>
      <c r="D24" s="9" t="s">
        <v>31</v>
      </c>
    </row>
    <row r="25" ht="16.5" spans="1:4">
      <c r="A25" s="18" t="s">
        <v>19</v>
      </c>
      <c r="B25" s="18"/>
      <c r="C25" s="19"/>
      <c r="D25" s="18"/>
    </row>
    <row r="26" ht="16.5" spans="1:4">
      <c r="A26" s="18" t="s">
        <v>19</v>
      </c>
      <c r="B26" s="18"/>
      <c r="C26" s="19"/>
      <c r="D26" s="18"/>
    </row>
    <row r="27" ht="16.5" spans="1:4">
      <c r="A27" s="18" t="s">
        <v>19</v>
      </c>
      <c r="B27" s="18"/>
      <c r="C27" s="19"/>
      <c r="D27" s="18"/>
    </row>
    <row r="28" ht="16.5" spans="1:4">
      <c r="A28" s="18" t="s">
        <v>19</v>
      </c>
      <c r="B28" s="18"/>
      <c r="C28" s="19"/>
      <c r="D28" s="18"/>
    </row>
    <row r="29" ht="15" spans="1:4">
      <c r="A29" s="20" t="s">
        <v>15</v>
      </c>
      <c r="B29" s="20" t="s">
        <v>32</v>
      </c>
      <c r="C29" s="21">
        <f>SUM(C16:C28)</f>
        <v>525</v>
      </c>
      <c r="D29" s="20" t="s">
        <v>33</v>
      </c>
    </row>
    <row r="30" ht="26" customHeight="1" spans="1:4">
      <c r="A30" s="16" t="s">
        <v>34</v>
      </c>
      <c r="B30" s="17"/>
      <c r="C30" s="17"/>
      <c r="D30" s="17"/>
    </row>
    <row r="31" ht="16.5" spans="1:4">
      <c r="A31" s="9" t="s">
        <v>35</v>
      </c>
      <c r="B31" s="9" t="s">
        <v>36</v>
      </c>
      <c r="C31" s="8">
        <v>128</v>
      </c>
      <c r="D31" s="9" t="s">
        <v>37</v>
      </c>
    </row>
    <row r="32" ht="16.5" spans="1:4">
      <c r="A32" s="9" t="s">
        <v>35</v>
      </c>
      <c r="B32" s="9" t="s">
        <v>38</v>
      </c>
      <c r="C32" s="8">
        <v>140</v>
      </c>
      <c r="D32" s="9" t="s">
        <v>37</v>
      </c>
    </row>
    <row r="33" ht="16.5" spans="1:4">
      <c r="A33" s="9" t="s">
        <v>35</v>
      </c>
      <c r="B33" s="9" t="s">
        <v>39</v>
      </c>
      <c r="C33" s="8">
        <v>120</v>
      </c>
      <c r="D33" s="9" t="s">
        <v>37</v>
      </c>
    </row>
    <row r="34" ht="16.5" spans="1:4">
      <c r="A34" s="9" t="s">
        <v>35</v>
      </c>
      <c r="B34" s="9" t="s">
        <v>40</v>
      </c>
      <c r="C34" s="8">
        <v>168</v>
      </c>
      <c r="D34" s="9" t="s">
        <v>37</v>
      </c>
    </row>
    <row r="35" ht="16.5" spans="1:4">
      <c r="A35" s="9" t="s">
        <v>35</v>
      </c>
      <c r="B35" s="9" t="s">
        <v>41</v>
      </c>
      <c r="C35" s="8">
        <v>106</v>
      </c>
      <c r="D35" s="9" t="s">
        <v>42</v>
      </c>
    </row>
    <row r="36" ht="16.5" spans="1:4">
      <c r="A36" s="18" t="s">
        <v>35</v>
      </c>
      <c r="B36" s="18"/>
      <c r="C36" s="19"/>
      <c r="D36" s="18"/>
    </row>
    <row r="37" ht="16.5" spans="1:4">
      <c r="A37" s="18" t="s">
        <v>35</v>
      </c>
      <c r="B37" s="18"/>
      <c r="C37" s="19"/>
      <c r="D37" s="18"/>
    </row>
    <row r="38" ht="16.5" spans="1:4">
      <c r="A38" s="18" t="s">
        <v>35</v>
      </c>
      <c r="B38" s="18"/>
      <c r="C38" s="19"/>
      <c r="D38" s="18"/>
    </row>
    <row r="39" ht="16.5" spans="1:4">
      <c r="A39" s="18" t="s">
        <v>35</v>
      </c>
      <c r="B39" s="18"/>
      <c r="C39" s="19"/>
      <c r="D39" s="18"/>
    </row>
    <row r="40" ht="16.5" spans="1:4">
      <c r="A40" s="18" t="s">
        <v>35</v>
      </c>
      <c r="B40" s="18"/>
      <c r="C40" s="19"/>
      <c r="D40" s="18"/>
    </row>
    <row r="41" ht="15" spans="1:4">
      <c r="A41" s="20" t="s">
        <v>15</v>
      </c>
      <c r="B41" s="20" t="s">
        <v>43</v>
      </c>
      <c r="C41" s="21">
        <f>SUM(C31:C40)</f>
        <v>662</v>
      </c>
      <c r="D41" s="20" t="s">
        <v>44</v>
      </c>
    </row>
    <row r="42" ht="26" customHeight="1" spans="1:4">
      <c r="A42" s="16" t="s">
        <v>45</v>
      </c>
      <c r="B42" s="17"/>
      <c r="C42" s="17"/>
      <c r="D42" s="17"/>
    </row>
    <row r="43" ht="16.5" spans="1:4">
      <c r="A43" s="9" t="s">
        <v>46</v>
      </c>
      <c r="B43" s="9" t="s">
        <v>47</v>
      </c>
      <c r="C43" s="8">
        <v>20</v>
      </c>
      <c r="D43" s="9" t="s">
        <v>48</v>
      </c>
    </row>
    <row r="44" ht="16.5" spans="1:4">
      <c r="A44" s="9" t="s">
        <v>46</v>
      </c>
      <c r="B44" s="9" t="s">
        <v>49</v>
      </c>
      <c r="C44" s="8">
        <v>35</v>
      </c>
      <c r="D44" s="9" t="s">
        <v>48</v>
      </c>
    </row>
    <row r="45" ht="16.5" spans="1:4">
      <c r="A45" s="9" t="s">
        <v>46</v>
      </c>
      <c r="B45" s="9" t="s">
        <v>50</v>
      </c>
      <c r="C45" s="8">
        <v>40.5</v>
      </c>
      <c r="D45" s="9" t="s">
        <v>51</v>
      </c>
    </row>
    <row r="46" ht="16.5" spans="1:4">
      <c r="A46" s="18" t="s">
        <v>46</v>
      </c>
      <c r="B46" s="18"/>
      <c r="C46" s="19"/>
      <c r="D46" s="18"/>
    </row>
    <row r="47" ht="16.5" spans="1:4">
      <c r="A47" s="18" t="s">
        <v>46</v>
      </c>
      <c r="B47" s="18"/>
      <c r="C47" s="19"/>
      <c r="D47" s="18"/>
    </row>
    <row r="48" ht="16.5" spans="1:4">
      <c r="A48" s="18" t="s">
        <v>46</v>
      </c>
      <c r="B48" s="18"/>
      <c r="C48" s="19"/>
      <c r="D48" s="18"/>
    </row>
    <row r="49" ht="16.5" spans="1:4">
      <c r="A49" s="18" t="s">
        <v>46</v>
      </c>
      <c r="B49" s="18"/>
      <c r="C49" s="19"/>
      <c r="D49" s="18"/>
    </row>
    <row r="50" ht="16.5" spans="1:4">
      <c r="A50" s="18" t="s">
        <v>46</v>
      </c>
      <c r="B50" s="18"/>
      <c r="C50" s="19"/>
      <c r="D50" s="18"/>
    </row>
    <row r="51" ht="15" spans="1:4">
      <c r="A51" s="20" t="s">
        <v>15</v>
      </c>
      <c r="B51" s="20" t="s">
        <v>52</v>
      </c>
      <c r="C51" s="21">
        <f>SUM(C43:C50)</f>
        <v>95.5</v>
      </c>
      <c r="D51" s="20" t="s">
        <v>53</v>
      </c>
    </row>
    <row r="53" ht="18" spans="1:4">
      <c r="A53" s="22" t="s">
        <v>15</v>
      </c>
      <c r="B53" s="22" t="s">
        <v>54</v>
      </c>
      <c r="C53" s="11">
        <f>C14+C29+C41+C51</f>
        <v>3959.4</v>
      </c>
      <c r="D53" s="22" t="s">
        <v>55</v>
      </c>
    </row>
    <row r="55" ht="16.5" spans="1:4">
      <c r="A55" s="14" t="s">
        <v>56</v>
      </c>
    </row>
    <row r="56" ht="16.5" spans="1:4">
      <c r="A56" s="14" t="s">
        <v>57</v>
      </c>
    </row>
  </sheetData>
  <mergeCells count="7">
    <mergeCell ref="A1:D1"/>
    <mergeCell ref="A3:D3"/>
    <mergeCell ref="A15:D15"/>
    <mergeCell ref="A30:D30"/>
    <mergeCell ref="A42:D42"/>
    <mergeCell ref="A55:D55"/>
    <mergeCell ref="A56:D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17" sqref="D17"/>
    </sheetView>
  </sheetViews>
  <sheetFormatPr defaultColWidth="9" defaultRowHeight="13.5" outlineLevelCol="3"/>
  <cols>
    <col min="1" max="1" width="20" customWidth="1"/>
    <col min="2" max="2" width="30" customWidth="1"/>
    <col min="3" max="3" width="16" customWidth="1"/>
    <col min="4" max="4" width="30" customWidth="1"/>
  </cols>
  <sheetData>
    <row r="1" ht="38" customHeight="1" spans="1:4">
      <c r="A1" s="1" t="s">
        <v>58</v>
      </c>
    </row>
    <row r="2" ht="28" customHeight="1" spans="1:4">
      <c r="A2" s="2" t="s">
        <v>59</v>
      </c>
      <c r="B2" s="2" t="s">
        <v>60</v>
      </c>
      <c r="C2" s="3" t="s">
        <v>3</v>
      </c>
      <c r="D2" s="2" t="s">
        <v>4</v>
      </c>
    </row>
    <row r="3" ht="26" customHeight="1" spans="1:4">
      <c r="A3" s="16" t="s">
        <v>61</v>
      </c>
      <c r="B3" s="17"/>
      <c r="C3" s="17"/>
      <c r="D3" s="17"/>
    </row>
    <row r="4" ht="16.5" spans="1:4">
      <c r="A4" s="9" t="s">
        <v>62</v>
      </c>
      <c r="B4" s="9" t="s">
        <v>63</v>
      </c>
      <c r="C4" s="8">
        <v>85.5</v>
      </c>
      <c r="D4" s="9" t="s">
        <v>64</v>
      </c>
    </row>
    <row r="5" ht="16.5" spans="1:4">
      <c r="A5" s="18" t="s">
        <v>62</v>
      </c>
      <c r="B5" s="18"/>
      <c r="C5" s="19"/>
      <c r="D5" s="18"/>
    </row>
    <row r="6" ht="16.5" spans="1:4">
      <c r="A6" s="18" t="s">
        <v>62</v>
      </c>
      <c r="B6" s="18"/>
      <c r="C6" s="19"/>
      <c r="D6" s="18"/>
    </row>
    <row r="7" ht="16.5" spans="1:4">
      <c r="A7" s="18" t="s">
        <v>62</v>
      </c>
      <c r="B7" s="18"/>
      <c r="C7" s="19"/>
      <c r="D7" s="18"/>
    </row>
    <row r="8" ht="15" spans="1:4">
      <c r="A8" s="20" t="s">
        <v>15</v>
      </c>
      <c r="B8" s="20" t="s">
        <v>65</v>
      </c>
      <c r="C8" s="21">
        <f>SUM(C4:C7)</f>
        <v>85.5</v>
      </c>
      <c r="D8" s="20" t="s">
        <v>15</v>
      </c>
    </row>
    <row r="9" ht="26" customHeight="1" spans="1:4">
      <c r="A9" s="16" t="s">
        <v>66</v>
      </c>
      <c r="B9" s="17"/>
      <c r="C9" s="17"/>
      <c r="D9" s="17"/>
    </row>
    <row r="10" ht="16.5" spans="1:4">
      <c r="A10" s="9" t="s">
        <v>67</v>
      </c>
      <c r="B10" s="9" t="s">
        <v>68</v>
      </c>
      <c r="C10" s="8">
        <v>202</v>
      </c>
      <c r="D10" s="9" t="s">
        <v>69</v>
      </c>
    </row>
    <row r="11" ht="16.5" spans="1:4">
      <c r="A11" s="9" t="s">
        <v>67</v>
      </c>
      <c r="B11" s="9" t="s">
        <v>70</v>
      </c>
      <c r="C11" s="8">
        <v>67.45</v>
      </c>
      <c r="D11" s="9" t="s">
        <v>71</v>
      </c>
    </row>
    <row r="12" ht="16.5" spans="1:4">
      <c r="A12" s="9" t="s">
        <v>67</v>
      </c>
      <c r="B12" s="9" t="s">
        <v>72</v>
      </c>
      <c r="C12" s="8">
        <v>67.45</v>
      </c>
      <c r="D12" s="9" t="s">
        <v>71</v>
      </c>
    </row>
    <row r="13" ht="16.5" spans="1:4">
      <c r="A13" s="9" t="s">
        <v>67</v>
      </c>
      <c r="B13" s="9" t="s">
        <v>73</v>
      </c>
      <c r="C13" s="8">
        <v>66.78</v>
      </c>
      <c r="D13" s="9" t="s">
        <v>71</v>
      </c>
    </row>
    <row r="14" ht="16.5" spans="1:4">
      <c r="A14" s="9" t="s">
        <v>67</v>
      </c>
      <c r="B14" s="9" t="s">
        <v>74</v>
      </c>
      <c r="C14" s="8">
        <v>66.78</v>
      </c>
      <c r="D14" s="9" t="s">
        <v>71</v>
      </c>
    </row>
    <row r="15" ht="16.5" spans="1:4">
      <c r="A15" s="18" t="s">
        <v>67</v>
      </c>
      <c r="B15" s="18"/>
      <c r="C15" s="19"/>
      <c r="D15" s="18"/>
    </row>
    <row r="16" ht="16.5" spans="1:4">
      <c r="A16" s="18" t="s">
        <v>67</v>
      </c>
      <c r="B16" s="18"/>
      <c r="C16" s="19"/>
      <c r="D16" s="18"/>
    </row>
    <row r="17" ht="16.5" spans="1:4">
      <c r="A17" s="18" t="s">
        <v>67</v>
      </c>
      <c r="B17" s="18"/>
      <c r="C17" s="19"/>
      <c r="D17" s="18"/>
    </row>
    <row r="18" ht="16.5" spans="1:4">
      <c r="A18" s="18" t="s">
        <v>67</v>
      </c>
      <c r="B18" s="18"/>
      <c r="C18" s="19"/>
      <c r="D18" s="18"/>
    </row>
    <row r="19" ht="16.5" spans="1:4">
      <c r="A19" s="18" t="s">
        <v>67</v>
      </c>
      <c r="B19" s="18"/>
      <c r="C19" s="19"/>
      <c r="D19" s="18"/>
    </row>
    <row r="20" ht="15" spans="1:4">
      <c r="A20" s="20" t="s">
        <v>15</v>
      </c>
      <c r="B20" s="20" t="s">
        <v>75</v>
      </c>
      <c r="C20" s="21">
        <f>SUM(C10:C19)</f>
        <v>470.46</v>
      </c>
      <c r="D20" s="20" t="s">
        <v>15</v>
      </c>
    </row>
    <row r="22" ht="18" spans="1:4">
      <c r="A22" s="22" t="s">
        <v>15</v>
      </c>
      <c r="B22" s="22" t="s">
        <v>76</v>
      </c>
      <c r="C22" s="11">
        <f>C8+C20</f>
        <v>555.96</v>
      </c>
      <c r="D22" s="22" t="s">
        <v>77</v>
      </c>
    </row>
    <row r="24" ht="16.5" spans="1:4">
      <c r="A24" s="14" t="s">
        <v>78</v>
      </c>
    </row>
  </sheetData>
  <mergeCells count="4">
    <mergeCell ref="A1:D1"/>
    <mergeCell ref="A3:D3"/>
    <mergeCell ref="A9:D9"/>
    <mergeCell ref="A24:D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D8" sqref="D8"/>
    </sheetView>
  </sheetViews>
  <sheetFormatPr defaultColWidth="9" defaultRowHeight="13.5" outlineLevelCol="2"/>
  <cols>
    <col min="1" max="1" width="28" customWidth="1"/>
    <col min="2" max="2" width="16" customWidth="1"/>
    <col min="3" max="3" width="50" customWidth="1"/>
  </cols>
  <sheetData>
    <row r="1" ht="38" customHeight="1" spans="1:3">
      <c r="A1" s="1" t="s">
        <v>79</v>
      </c>
    </row>
    <row r="2" ht="28" customHeight="1" spans="1:3">
      <c r="A2" s="2" t="s">
        <v>80</v>
      </c>
      <c r="B2" s="2" t="s">
        <v>3</v>
      </c>
      <c r="C2" s="3" t="s">
        <v>81</v>
      </c>
    </row>
    <row r="3" ht="16.5" spans="1:3">
      <c r="A3" s="4" t="s">
        <v>82</v>
      </c>
      <c r="B3" s="5">
        <f>支出明细表!C53</f>
        <v>3959.4</v>
      </c>
      <c r="C3" s="6" t="s">
        <v>83</v>
      </c>
    </row>
    <row r="4" ht="16.5" spans="1:3">
      <c r="A4" s="7" t="s">
        <v>84</v>
      </c>
      <c r="B4" s="8">
        <f>游戏变现收入明细表!C22</f>
        <v>555.96</v>
      </c>
      <c r="C4" s="9" t="s">
        <v>85</v>
      </c>
    </row>
    <row r="5" ht="18" spans="1:3">
      <c r="A5" s="10" t="s">
        <v>86</v>
      </c>
      <c r="B5" s="11">
        <f>B3-B4</f>
        <v>3403.44</v>
      </c>
      <c r="C5" s="12" t="s">
        <v>87</v>
      </c>
    </row>
    <row r="7" ht="18" spans="1:3">
      <c r="A7" s="13" t="s">
        <v>88</v>
      </c>
    </row>
    <row r="8" ht="22" customHeight="1" spans="1:3">
      <c r="A8" s="14" t="s">
        <v>89</v>
      </c>
    </row>
    <row r="9" ht="22" customHeight="1" spans="1:3">
      <c r="A9" s="14" t="s">
        <v>90</v>
      </c>
    </row>
    <row r="10" ht="22" customHeight="1" spans="1:3">
      <c r="A10" s="14" t="s">
        <v>91</v>
      </c>
    </row>
    <row r="11" ht="22" customHeight="1" spans="1:3">
      <c r="A11" s="14" t="s">
        <v>92</v>
      </c>
    </row>
    <row r="12" ht="22" customHeight="1" spans="1:3">
      <c r="A12" s="14" t="s">
        <v>93</v>
      </c>
    </row>
    <row r="14" ht="16.5" spans="1:3">
      <c r="A14" s="15" t="s">
        <v>15</v>
      </c>
    </row>
  </sheetData>
  <mergeCells count="8">
    <mergeCell ref="A1:C1"/>
    <mergeCell ref="A7:C7"/>
    <mergeCell ref="A8:C8"/>
    <mergeCell ref="A9:C9"/>
    <mergeCell ref="A10:C10"/>
    <mergeCell ref="A11:C11"/>
    <mergeCell ref="A12:C12"/>
    <mergeCell ref="A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支出明细表</vt:lpstr>
      <vt:lpstr>游戏变现收入明细表</vt:lpstr>
      <vt:lpstr>成本核算汇总表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utsuku</cp:lastModifiedBy>
  <dcterms:created xsi:type="dcterms:W3CDTF">2026-07-24T07:19:00Z</dcterms:created>
  <dcterms:modified xsi:type="dcterms:W3CDTF">2026-07-29T06:20:37Z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D726423B5326445A971515F4A4D5E7E9_13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