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MHXY\chenlong5469-ui.github.io\now\"/>
    </mc:Choice>
  </mc:AlternateContent>
  <bookViews>
    <workbookView windowWidth="27765" windowHeight="13890" firstSheet="1"/>
  </bookViews>
  <sheets>
    <sheet name="支出明细表" sheetId="1" r:id="rId1"/>
    <sheet name="游戏变现收入明细表" sheetId="2" r:id="rId2"/>
    <sheet name="成本核算汇总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<sst xmlns="http://schemas.openxmlformats.org/spreadsheetml/2006/main" count="283" uniqueCount="154">
  <si>
    <t>梦幻西游 · 支出明细表（黄色行为新增录入区）</t>
  </si>
  <si>
    <t>分类</t>
  </si>
  <si>
    <t>明细项目</t>
  </si>
  <si>
    <t>金额 (元)</t>
  </si>
  <si>
    <t>备注</t>
  </si>
  <si>
    <t>▌角色账号购置</t>
  </si>
  <si>
    <t>角色账号购置</t>
  </si>
  <si>
    <t>巨魔王一号</t>
  </si>
  <si>
    <t>男角色</t>
  </si>
  <si>
    <t>骨精灵</t>
  </si>
  <si>
    <t>女角色</t>
  </si>
  <si>
    <t>杀破狼</t>
  </si>
  <si>
    <t>巨魔王二号</t>
  </si>
  <si>
    <t>主号男角色</t>
  </si>
  <si>
    <t>主力账号</t>
  </si>
  <si>
    <t>巫蛮儿</t>
  </si>
  <si>
    <t>女儿村</t>
  </si>
  <si>
    <t>角色账号购置新</t>
  </si>
  <si>
    <t>无底洞</t>
  </si>
  <si>
    <t>地府伞</t>
  </si>
  <si>
    <t>女儿</t>
  </si>
  <si>
    <t>地府鞭</t>
  </si>
  <si>
    <t>地府男魔</t>
  </si>
  <si>
    <t>角色小计</t>
  </si>
  <si>
    <t>▌点卡相关</t>
  </si>
  <si>
    <t>点卡相关</t>
  </si>
  <si>
    <t>30 元点卡</t>
  </si>
  <si>
    <t>原拆分点卡</t>
  </si>
  <si>
    <t>20 元点卡</t>
  </si>
  <si>
    <t>5 元点卡</t>
  </si>
  <si>
    <t>10 元补充点卡</t>
  </si>
  <si>
    <t>漏算补充</t>
  </si>
  <si>
    <t>25 元追加点卡</t>
  </si>
  <si>
    <t>后期新增</t>
  </si>
  <si>
    <t>300 元月卡</t>
  </si>
  <si>
    <t>第一轮月卡</t>
  </si>
  <si>
    <t>小号点卡第一轮</t>
  </si>
  <si>
    <t>小号点卡 30*5支付优惠</t>
  </si>
  <si>
    <t>8月21点卡</t>
  </si>
  <si>
    <t>8月24点卡</t>
  </si>
  <si>
    <t>8月27点卡</t>
  </si>
  <si>
    <t>小号</t>
  </si>
  <si>
    <t>8月26点卡</t>
  </si>
  <si>
    <t>8月30点卡</t>
  </si>
  <si>
    <t>9月月卡</t>
  </si>
  <si>
    <t>8月30点卡50</t>
  </si>
  <si>
    <t>9月21点卡</t>
  </si>
  <si>
    <t>9月22点卡</t>
  </si>
  <si>
    <t>4个号补</t>
  </si>
  <si>
    <t>9月23点卡</t>
  </si>
  <si>
    <t>9月25点卡</t>
  </si>
  <si>
    <t>点卡新</t>
  </si>
  <si>
    <t>9月25 新号点卡</t>
  </si>
  <si>
    <t>月卡</t>
  </si>
  <si>
    <t>点卡小计</t>
  </si>
  <si>
    <t>▌召唤兽采购</t>
  </si>
  <si>
    <t>召唤兽采购</t>
  </si>
  <si>
    <t>蓝书力宠画魂</t>
  </si>
  <si>
    <t>力宠（已卖出）</t>
  </si>
  <si>
    <t>力宠蝴蝶仙子</t>
  </si>
  <si>
    <t>力宠</t>
  </si>
  <si>
    <t>力宠吸血鬼</t>
  </si>
  <si>
    <t>力宠龙鲤</t>
  </si>
  <si>
    <t>购入法宠</t>
  </si>
  <si>
    <t>法宠（后续卖出）</t>
  </si>
  <si>
    <t>79龙鲤</t>
  </si>
  <si>
    <t>79龙鲤 2</t>
  </si>
  <si>
    <t>须弥画魂高魔心带套0903</t>
  </si>
  <si>
    <t>法宠</t>
  </si>
  <si>
    <t>龙鲤0908</t>
  </si>
  <si>
    <t>三技能女娲0908</t>
  </si>
  <si>
    <t>雷鸟人须弥 9月20</t>
  </si>
  <si>
    <t>须弥法宠</t>
  </si>
  <si>
    <t>雷鸟人须弥 9月11</t>
  </si>
  <si>
    <t>召唤小计</t>
  </si>
  <si>
    <t>▌装备采购</t>
  </si>
  <si>
    <t>装备采购</t>
  </si>
  <si>
    <t>主号武器</t>
  </si>
  <si>
    <t>主力角色装备</t>
  </si>
  <si>
    <t>主号鞋子</t>
  </si>
  <si>
    <t>4 角色 100 级国标武器</t>
  </si>
  <si>
    <t>其余小号武器</t>
  </si>
  <si>
    <t>后排灵饰109</t>
  </si>
  <si>
    <t>风伯套装48</t>
  </si>
  <si>
    <t>吸血鬼鞋子（套牢）</t>
  </si>
  <si>
    <t>国标武器</t>
  </si>
  <si>
    <t>装备小计</t>
  </si>
  <si>
    <t>全部支出合计</t>
  </si>
  <si>
    <t>📌 在黄色空行录入新支出，金额填 C 列，小计和合计自动更新</t>
  </si>
  <si>
    <t>梦幻西游 · 游戏变现收入明细表（黄色行为新增录入区）</t>
  </si>
  <si>
    <t>收入分类</t>
  </si>
  <si>
    <t>变现项目</t>
  </si>
  <si>
    <t>▌宠物变现</t>
  </si>
  <si>
    <t>宠物变现</t>
  </si>
  <si>
    <t>出售法宠回款</t>
  </si>
  <si>
    <t>采购法宠卖出收入</t>
  </si>
  <si>
    <t>龙鲤</t>
  </si>
  <si>
    <t>卖出</t>
  </si>
  <si>
    <t>吸血鬼</t>
  </si>
  <si>
    <t>3JN胚子</t>
  </si>
  <si>
    <t>画魂  8月29</t>
  </si>
  <si>
    <t>3JN胚子  8月10</t>
  </si>
  <si>
    <t>龙鲤 胚子*2</t>
  </si>
  <si>
    <t>蝴蝶仙子*2</t>
  </si>
  <si>
    <t>地摊律法女娲  9月12</t>
  </si>
  <si>
    <t>地摊灵符女娲法  9月15</t>
  </si>
  <si>
    <t>物品 80环装</t>
  </si>
  <si>
    <t>卖古代瑞兽胚子 9月23</t>
  </si>
  <si>
    <t>配饰9月24</t>
  </si>
  <si>
    <t>卖古代瑞兽胚子 9月25</t>
  </si>
  <si>
    <t>宠物小计</t>
  </si>
  <si>
    <t>▌物资变现</t>
  </si>
  <si>
    <t>物资变现</t>
  </si>
  <si>
    <t>第一坨菜售卖</t>
  </si>
  <si>
    <t>游戏产出物资</t>
  </si>
  <si>
    <t>小菜 1</t>
  </si>
  <si>
    <t>新增变现</t>
  </si>
  <si>
    <t>小菜 2</t>
  </si>
  <si>
    <t>小菜 3</t>
  </si>
  <si>
    <t>小菜4</t>
  </si>
  <si>
    <t>小菜5</t>
  </si>
  <si>
    <t>小菜6</t>
  </si>
  <si>
    <t>小菜7</t>
  </si>
  <si>
    <t>小菜8   8月29</t>
  </si>
  <si>
    <t>小菜    8月11</t>
  </si>
  <si>
    <t>8月20</t>
  </si>
  <si>
    <t>8月23</t>
  </si>
  <si>
    <t>8月13</t>
  </si>
  <si>
    <t>小菜9 8月27</t>
  </si>
  <si>
    <t>出菜1坨 9月11</t>
  </si>
  <si>
    <t>出菜400W 9月17</t>
  </si>
  <si>
    <t>出菜3000W 9月17</t>
  </si>
  <si>
    <t>出菜半坨 9月11</t>
  </si>
  <si>
    <t>出一坨小菜 9月21</t>
  </si>
  <si>
    <t>小菜 0924</t>
  </si>
  <si>
    <t>物资小计</t>
  </si>
  <si>
    <t>全部变现总收入</t>
  </si>
  <si>
    <t>📌 在黄色空行录入新收入，金额填 C 列，小计和合计自动更新</t>
  </si>
  <si>
    <t>梦幻西游 · 成本核算汇总表（自动计算）</t>
  </si>
  <si>
    <t>核算项目</t>
  </si>
  <si>
    <t>说明</t>
  </si>
  <si>
    <t>游戏总支出</t>
  </si>
  <si>
    <t>全部账号、点卡、宠物、装备花销</t>
  </si>
  <si>
    <t>减：游戏变现总收入</t>
  </si>
  <si>
    <t>卖宠、卖游戏物资全部回款</t>
  </si>
  <si>
    <t>最新实际净投入</t>
  </si>
  <si>
    <t>扣除变现后自付成本</t>
  </si>
  <si>
    <t>📌 补充说明</t>
  </si>
  <si>
    <t>① 原文档内 1102 元已全部分拆至各细分条目，不再单独统计；</t>
  </si>
  <si>
    <t>② 25 元追加点卡、300 元月卡统一归类点卡类目；</t>
  </si>
  <si>
    <t>③ 本次新增 2 笔小菜变现收入，单份 67.45 元，合计 134.9 元；</t>
  </si>
  <si>
    <t>④ 本表净投入自动引用「支出」和「收入」两个工作表的合计，无需手动修改；</t>
  </si>
  <si>
    <t>⑤ 在「支出明细表」或「游戏变现收入明细表」录入新数据后，此表自动更新。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</si>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</sst>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b/>
      <sz val="12"/>
      <color rgb="FFC00000"/>
      <name val="微软雅黑"/>
      <charset val="134"/>
    </font>
    <font>
      <b/>
      <sz val="12"/>
      <color rgb="FF1F4E79"/>
      <name val="微软雅黑"/>
      <charset val="134"/>
    </font>
    <font>
      <sz val="11"/>
      <color rgb="FF666666"/>
      <name val="微软雅黑"/>
      <charset val="134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FFCDD2"/>
        <bgColor rgb="FFFFCDD2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12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13" borderId="8">
      <alignment vertical="center"/>
    </xf>
    <xf numFmtId="0" fontId="21" fillId="14" borderId="9">
      <alignment vertical="center"/>
    </xf>
    <xf numFmtId="0" fontId="22" fillId="14" borderId="8">
      <alignment vertical="center"/>
    </xf>
    <xf numFmtId="0" fontId="23" fillId="15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30" fillId="36" borderId="0">
      <alignment vertical="center"/>
    </xf>
    <xf numFmtId="0" fontId="30" fillId="37" borderId="0">
      <alignment vertical="center"/>
    </xf>
    <xf numFmtId="0" fontId="29" fillId="38" borderId="0">
      <alignment vertical="center"/>
    </xf>
    <xf numFmtId="0" fontId="29" fillId="39" borderId="0">
      <alignment vertical="center"/>
    </xf>
    <xf numFmtId="0" fontId="30" fillId="40" borderId="0">
      <alignment vertical="center"/>
    </xf>
    <xf numFmtId="0" fontId="30" fillId="41" borderId="0">
      <alignment vertical="center"/>
    </xf>
    <xf numFmtId="0" fontId="29" fillId="42" borderId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/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/>
    <xf numFmtId="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3" fillId="0" borderId="0" xfId="0" applyFont="1"/>
    <xf numFmtId="0" fontId="7" fillId="0" borderId="0" xfId="0" applyFont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7" borderId="2" xfId="0" applyFont="1" applyFill="1" applyBorder="1"/>
    <xf numFmtId="0" fontId="0" fillId="0" borderId="3" xfId="0" applyBorder="1"/>
    <xf numFmtId="0" fontId="0" fillId="0" borderId="4" xfId="0" applyBorder="1"/>
    <xf numFmtId="0" fontId="10" fillId="8" borderId="2" xfId="0" applyFont="1" applyFill="1" applyBorder="1"/>
    <xf numFmtId="4" fontId="10" fillId="8" borderId="2" xfId="0" applyNumberFormat="1" applyFont="1" applyFill="1" applyBorder="1"/>
    <xf numFmtId="0" fontId="0" fillId="9" borderId="2" xfId="0" applyFill="1" applyBorder="1"/>
    <xf numFmtId="4" fontId="0" fillId="9" borderId="2" xfId="0" applyNumberFormat="1" applyFill="1" applyBorder="1"/>
    <xf numFmtId="0" fontId="11" fillId="10" borderId="2" xfId="0" applyFont="1" applyFill="1" applyBorder="1"/>
    <xf numFmtId="4" fontId="11" fillId="10" borderId="2" xfId="0" applyNumberFormat="1" applyFont="1" applyFill="1" applyBorder="1"/>
    <xf numFmtId="0" fontId="9" fillId="11" borderId="2" xfId="0" applyFont="1" applyFill="1" applyBorder="1"/>
    <xf numFmtId="4" fontId="9" fillId="11" borderId="2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workbookViewId="0">
      <selection activeCell="H22" sqref="H22"/>
    </sheetView>
  </sheetViews>
  <sheetFormatPr defaultColWidth="9" defaultRowHeight="13.5" outlineLevelCol="3"/>
  <cols>
    <col min="1" max="1" width="20" customWidth="1"/>
    <col min="2" max="2" width="30" customWidth="1"/>
    <col min="3" max="3" width="16" customWidth="1"/>
    <col min="4" max="4" width="30" customWidth="1"/>
  </cols>
  <sheetData>
    <row r="1" ht="34" customHeight="1" spans="1:4">
      <c r="A1" s="16" t="s">
        <v>0</v>
      </c>
    </row>
    <row r="2" ht="24" customHeight="1" spans="1:4">
      <c r="A2" s="17" t="s">
        <v>1</v>
      </c>
      <c r="B2" s="17" t="s">
        <v>2</v>
      </c>
      <c r="C2" s="17" t="s">
        <v>3</v>
      </c>
      <c r="D2" s="17" t="s">
        <v>4</v>
      </c>
    </row>
    <row r="3" ht="22" customHeight="1" spans="1:4">
      <c r="A3" s="18" t="s">
        <v>5</v>
      </c>
      <c r="B3" s="19"/>
      <c r="C3" s="19"/>
      <c r="D3" s="20"/>
    </row>
    <row r="4" spans="1:4">
      <c r="A4" s="21" t="s">
        <v>6</v>
      </c>
      <c r="B4" s="21" t="s">
        <v>7</v>
      </c>
      <c r="C4" s="22">
        <v>391.9</v>
      </c>
      <c r="D4" s="21" t="s">
        <v>8</v>
      </c>
    </row>
    <row r="5" spans="1:4">
      <c r="A5" s="21" t="s">
        <v>6</v>
      </c>
      <c r="B5" s="21" t="s">
        <v>9</v>
      </c>
      <c r="C5" s="22">
        <v>400</v>
      </c>
      <c r="D5" s="21" t="s">
        <v>10</v>
      </c>
    </row>
    <row r="6" spans="1:4">
      <c r="A6" s="21" t="s">
        <v>6</v>
      </c>
      <c r="B6" s="21" t="s">
        <v>11</v>
      </c>
      <c r="C6" s="22">
        <v>519</v>
      </c>
      <c r="D6" s="21" t="s">
        <v>8</v>
      </c>
    </row>
    <row r="7" spans="1:4">
      <c r="A7" s="21" t="s">
        <v>6</v>
      </c>
      <c r="B7" s="21" t="s">
        <v>12</v>
      </c>
      <c r="C7" s="22">
        <v>500</v>
      </c>
      <c r="D7" s="21" t="s">
        <v>8</v>
      </c>
    </row>
    <row r="8" spans="1:4">
      <c r="A8" s="21" t="s">
        <v>6</v>
      </c>
      <c r="B8" s="21" t="s">
        <v>13</v>
      </c>
      <c r="C8" s="22">
        <v>866</v>
      </c>
      <c r="D8" s="21" t="s">
        <v>14</v>
      </c>
    </row>
    <row r="9" spans="1:4">
      <c r="A9" s="21" t="s">
        <v>6</v>
      </c>
      <c r="B9" s="21" t="s">
        <v>15</v>
      </c>
      <c r="C9" s="22">
        <v>460</v>
      </c>
      <c r="D9" s="21" t="s">
        <v>16</v>
      </c>
    </row>
    <row r="10" spans="1:4">
      <c r="A10" s="21" t="s">
        <v>17</v>
      </c>
      <c r="B10" s="23" t="s">
        <v>18</v>
      </c>
      <c r="C10" s="24">
        <v>2600</v>
      </c>
      <c r="D10" s="23"/>
    </row>
    <row r="11" spans="1:4">
      <c r="A11" s="21" t="s">
        <v>17</v>
      </c>
      <c r="B11" s="23" t="s">
        <v>19</v>
      </c>
      <c r="C11" s="24">
        <v>2600</v>
      </c>
      <c r="D11" s="23"/>
    </row>
    <row r="12" spans="1:4">
      <c r="A12" s="21" t="s">
        <v>17</v>
      </c>
      <c r="B12" s="23" t="s">
        <v>20</v>
      </c>
      <c r="C12" s="24">
        <v>2600</v>
      </c>
      <c r="D12" s="23"/>
    </row>
    <row r="13" spans="1:4">
      <c r="A13" s="21" t="s">
        <v>17</v>
      </c>
      <c r="B13" s="23" t="s">
        <v>21</v>
      </c>
      <c r="C13" s="24">
        <v>2600</v>
      </c>
      <c r="D13" s="23"/>
    </row>
    <row r="14" spans="1:4">
      <c r="A14" s="21" t="s">
        <v>17</v>
      </c>
      <c r="B14" s="23" t="s">
        <v>22</v>
      </c>
      <c r="C14" s="24">
        <v>2600</v>
      </c>
      <c r="D14" s="23"/>
    </row>
    <row r="15" spans="1:4">
      <c r="A15" s="25"/>
      <c r="B15" s="25" t="s">
        <v>23</v>
      </c>
      <c r="C15" s="26">
        <f>SUM(C4:C14)</f>
        <v>16136.9</v>
      </c>
      <c r="D15" s="25"/>
    </row>
    <row r="17" ht="22" customHeight="1" spans="1:4">
      <c r="A17" s="18" t="s">
        <v>24</v>
      </c>
      <c r="B17" s="19"/>
      <c r="C17" s="19"/>
      <c r="D17" s="20"/>
    </row>
    <row r="18" spans="1:4">
      <c r="A18" s="21" t="s">
        <v>25</v>
      </c>
      <c r="B18" s="21" t="s">
        <v>26</v>
      </c>
      <c r="C18" s="22">
        <v>30</v>
      </c>
      <c r="D18" s="21" t="s">
        <v>27</v>
      </c>
    </row>
    <row r="19" spans="1:4">
      <c r="A19" s="21" t="s">
        <v>25</v>
      </c>
      <c r="B19" s="21" t="s">
        <v>28</v>
      </c>
      <c r="C19" s="22">
        <v>20</v>
      </c>
      <c r="D19" s="21" t="s">
        <v>27</v>
      </c>
    </row>
    <row r="20" spans="1:4">
      <c r="A20" s="21" t="s">
        <v>25</v>
      </c>
      <c r="B20" s="21" t="s">
        <v>29</v>
      </c>
      <c r="C20" s="22">
        <v>5</v>
      </c>
      <c r="D20" s="21" t="s">
        <v>27</v>
      </c>
    </row>
    <row r="21" spans="1:4">
      <c r="A21" s="21" t="s">
        <v>25</v>
      </c>
      <c r="B21" s="21" t="s">
        <v>29</v>
      </c>
      <c r="C21" s="22">
        <v>5</v>
      </c>
      <c r="D21" s="21" t="s">
        <v>27</v>
      </c>
    </row>
    <row r="22" spans="1:4">
      <c r="A22" s="21" t="s">
        <v>25</v>
      </c>
      <c r="B22" s="21" t="s">
        <v>29</v>
      </c>
      <c r="C22" s="22">
        <v>5</v>
      </c>
      <c r="D22" s="21" t="s">
        <v>27</v>
      </c>
    </row>
    <row r="23" spans="1:4">
      <c r="A23" s="21" t="s">
        <v>25</v>
      </c>
      <c r="B23" s="21" t="s">
        <v>30</v>
      </c>
      <c r="C23" s="22">
        <v>10</v>
      </c>
      <c r="D23" s="21" t="s">
        <v>31</v>
      </c>
    </row>
    <row r="24" spans="1:4">
      <c r="A24" s="21" t="s">
        <v>25</v>
      </c>
      <c r="B24" s="21" t="s">
        <v>32</v>
      </c>
      <c r="C24" s="22">
        <v>25</v>
      </c>
      <c r="D24" s="21" t="s">
        <v>33</v>
      </c>
    </row>
    <row r="25" spans="1:4">
      <c r="A25" s="21" t="s">
        <v>25</v>
      </c>
      <c r="B25" s="21" t="s">
        <v>34</v>
      </c>
      <c r="C25" s="22">
        <v>300</v>
      </c>
      <c r="D25" s="21" t="s">
        <v>35</v>
      </c>
    </row>
    <row r="26" spans="1:4">
      <c r="A26" s="21" t="s">
        <v>25</v>
      </c>
      <c r="B26" s="21" t="s">
        <v>36</v>
      </c>
      <c r="C26" s="22">
        <v>125</v>
      </c>
      <c r="D26" s="21" t="s">
        <v>37</v>
      </c>
    </row>
    <row r="27" spans="1:4">
      <c r="A27" s="21" t="s">
        <v>25</v>
      </c>
      <c r="B27" s="21" t="s">
        <v>38</v>
      </c>
      <c r="C27" s="22">
        <v>15</v>
      </c>
      <c r="D27" s="21"/>
    </row>
    <row r="28" spans="1:4">
      <c r="A28" s="21" t="s">
        <v>25</v>
      </c>
      <c r="B28" s="21" t="s">
        <v>39</v>
      </c>
      <c r="C28" s="22">
        <v>1.05</v>
      </c>
      <c r="D28" s="21"/>
    </row>
    <row r="29" spans="1:4">
      <c r="A29" s="21" t="s">
        <v>25</v>
      </c>
      <c r="B29" s="21" t="s">
        <v>40</v>
      </c>
      <c r="C29" s="22">
        <v>25</v>
      </c>
      <c r="D29" s="21" t="s">
        <v>41</v>
      </c>
    </row>
    <row r="30" spans="1:4">
      <c r="A30" s="21" t="s">
        <v>25</v>
      </c>
      <c r="B30" s="21" t="s">
        <v>42</v>
      </c>
      <c r="C30" s="22">
        <v>20</v>
      </c>
      <c r="D30" s="21"/>
    </row>
    <row r="31" spans="1:4">
      <c r="A31" s="21" t="s">
        <v>25</v>
      </c>
      <c r="B31" s="21" t="s">
        <v>43</v>
      </c>
      <c r="C31" s="22">
        <v>30</v>
      </c>
      <c r="D31" s="21"/>
    </row>
    <row r="32" spans="1:4">
      <c r="A32" s="21" t="s">
        <v>25</v>
      </c>
      <c r="B32" s="21" t="s">
        <v>44</v>
      </c>
      <c r="C32" s="22">
        <v>290</v>
      </c>
      <c r="D32" s="21"/>
    </row>
    <row r="33" spans="1:4">
      <c r="A33" s="21" t="s">
        <v>25</v>
      </c>
      <c r="B33" s="21" t="s">
        <v>45</v>
      </c>
      <c r="C33" s="22">
        <v>50</v>
      </c>
      <c r="D33" s="21"/>
    </row>
    <row r="34" spans="1:4">
      <c r="A34" s="21" t="s">
        <v>25</v>
      </c>
      <c r="B34" s="21" t="s">
        <v>46</v>
      </c>
      <c r="C34" s="22">
        <v>25</v>
      </c>
      <c r="D34" s="21"/>
    </row>
    <row r="35" spans="1:4">
      <c r="A35" s="21" t="s">
        <v>25</v>
      </c>
      <c r="B35" s="21" t="s">
        <v>47</v>
      </c>
      <c r="C35" s="22">
        <v>20</v>
      </c>
      <c r="D35" s="21" t="s">
        <v>48</v>
      </c>
    </row>
    <row r="36" spans="1:4">
      <c r="A36" s="21" t="s">
        <v>25</v>
      </c>
      <c r="B36" s="21" t="s">
        <v>49</v>
      </c>
      <c r="C36" s="22">
        <v>25</v>
      </c>
      <c r="D36" s="21"/>
    </row>
    <row r="37" spans="1:4">
      <c r="A37" s="21" t="s">
        <v>25</v>
      </c>
      <c r="B37" s="23" t="s">
        <v>50</v>
      </c>
      <c r="C37" s="24">
        <v>25</v>
      </c>
      <c r="D37" s="23"/>
    </row>
    <row r="38" spans="1:4">
      <c r="A38" s="23" t="s">
        <v>51</v>
      </c>
      <c r="B38" s="23" t="s">
        <v>52</v>
      </c>
      <c r="C38" s="24">
        <v>20</v>
      </c>
      <c r="D38" s="23"/>
    </row>
    <row r="39" spans="1:4">
      <c r="A39" s="23" t="s">
        <v>51</v>
      </c>
      <c r="B39" s="23" t="s">
        <v>53</v>
      </c>
      <c r="C39" s="24">
        <v>300</v>
      </c>
      <c r="D39" s="23"/>
    </row>
    <row r="40" spans="1:4">
      <c r="A40" s="23"/>
      <c r="B40" s="23"/>
      <c r="C40" s="24"/>
      <c r="D40" s="23"/>
    </row>
    <row r="41" spans="1:4">
      <c r="A41" s="23"/>
      <c r="B41" s="23"/>
      <c r="C41" s="24"/>
      <c r="D41" s="23"/>
    </row>
    <row r="42" spans="1:4">
      <c r="A42" s="25"/>
      <c r="B42" s="25" t="s">
        <v>54</v>
      </c>
      <c r="C42" s="26">
        <f>SUM(C18:C41)</f>
        <v>1371.05</v>
      </c>
      <c r="D42" s="25"/>
    </row>
    <row r="44" ht="22" customHeight="1" spans="1:4">
      <c r="A44" s="18" t="s">
        <v>55</v>
      </c>
      <c r="B44" s="19"/>
      <c r="C44" s="19"/>
      <c r="D44" s="20"/>
    </row>
    <row r="45" spans="1:4">
      <c r="A45" s="21" t="s">
        <v>56</v>
      </c>
      <c r="B45" s="21" t="s">
        <v>57</v>
      </c>
      <c r="C45" s="22">
        <v>128</v>
      </c>
      <c r="D45" s="21" t="s">
        <v>58</v>
      </c>
    </row>
    <row r="46" spans="1:4">
      <c r="A46" s="21" t="s">
        <v>56</v>
      </c>
      <c r="B46" s="21" t="s">
        <v>59</v>
      </c>
      <c r="C46" s="22">
        <v>140</v>
      </c>
      <c r="D46" s="21" t="s">
        <v>60</v>
      </c>
    </row>
    <row r="47" spans="1:4">
      <c r="A47" s="21" t="s">
        <v>56</v>
      </c>
      <c r="B47" s="21" t="s">
        <v>61</v>
      </c>
      <c r="C47" s="22">
        <v>120</v>
      </c>
      <c r="D47" s="21" t="s">
        <v>58</v>
      </c>
    </row>
    <row r="48" spans="1:4">
      <c r="A48" s="21" t="s">
        <v>56</v>
      </c>
      <c r="B48" s="21" t="s">
        <v>62</v>
      </c>
      <c r="C48" s="22">
        <v>168</v>
      </c>
      <c r="D48" s="21" t="s">
        <v>58</v>
      </c>
    </row>
    <row r="49" spans="1:4">
      <c r="A49" s="21" t="s">
        <v>56</v>
      </c>
      <c r="B49" s="21" t="s">
        <v>63</v>
      </c>
      <c r="C49" s="22">
        <v>106</v>
      </c>
      <c r="D49" s="21" t="s">
        <v>64</v>
      </c>
    </row>
    <row r="50" spans="1:4">
      <c r="A50" s="21" t="s">
        <v>56</v>
      </c>
      <c r="B50" s="21" t="s">
        <v>65</v>
      </c>
      <c r="C50" s="22">
        <v>68.25</v>
      </c>
      <c r="D50" s="21" t="s">
        <v>60</v>
      </c>
    </row>
    <row r="51" spans="1:4">
      <c r="A51" s="21" t="s">
        <v>56</v>
      </c>
      <c r="B51" s="21" t="s">
        <v>66</v>
      </c>
      <c r="C51" s="22">
        <v>65</v>
      </c>
      <c r="D51" s="21" t="s">
        <v>60</v>
      </c>
    </row>
    <row r="52" spans="1:4">
      <c r="A52" s="21" t="s">
        <v>56</v>
      </c>
      <c r="B52" s="21" t="s">
        <v>67</v>
      </c>
      <c r="C52" s="22">
        <v>409</v>
      </c>
      <c r="D52" s="21" t="s">
        <v>68</v>
      </c>
    </row>
    <row r="53" spans="1:4">
      <c r="A53" s="21" t="s">
        <v>56</v>
      </c>
      <c r="B53" s="21" t="s">
        <v>69</v>
      </c>
      <c r="C53" s="22">
        <v>177</v>
      </c>
      <c r="D53" s="21" t="s">
        <v>60</v>
      </c>
    </row>
    <row r="54" spans="1:4">
      <c r="A54" s="21" t="s">
        <v>56</v>
      </c>
      <c r="B54" s="21" t="s">
        <v>70</v>
      </c>
      <c r="C54" s="22">
        <v>160</v>
      </c>
      <c r="D54" s="21" t="s">
        <v>60</v>
      </c>
    </row>
    <row r="55" spans="1:4">
      <c r="A55" s="21" t="s">
        <v>56</v>
      </c>
      <c r="B55" s="21" t="s">
        <v>71</v>
      </c>
      <c r="C55" s="22">
        <v>210</v>
      </c>
      <c r="D55" s="21" t="s">
        <v>72</v>
      </c>
    </row>
    <row r="56" spans="1:4">
      <c r="A56" s="21" t="s">
        <v>56</v>
      </c>
      <c r="B56" s="21" t="s">
        <v>73</v>
      </c>
      <c r="C56" s="22">
        <v>240</v>
      </c>
      <c r="D56" s="21" t="s">
        <v>72</v>
      </c>
    </row>
    <row r="57" spans="1:4">
      <c r="A57" s="23"/>
      <c r="B57" s="23"/>
      <c r="C57" s="24"/>
      <c r="D57" s="23"/>
    </row>
    <row r="58" spans="1:4">
      <c r="A58" s="23"/>
      <c r="B58" s="23"/>
      <c r="C58" s="24"/>
      <c r="D58" s="23"/>
    </row>
    <row r="59" spans="1:4">
      <c r="A59" s="23"/>
      <c r="B59" s="23"/>
      <c r="C59" s="24"/>
      <c r="D59" s="23"/>
    </row>
    <row r="60" spans="1:4">
      <c r="A60" s="23"/>
      <c r="B60" s="23"/>
      <c r="C60" s="24"/>
      <c r="D60" s="23"/>
    </row>
    <row r="61" spans="1:4">
      <c r="A61" s="23"/>
      <c r="B61" s="23"/>
      <c r="C61" s="24"/>
      <c r="D61" s="23"/>
    </row>
    <row r="62" spans="1:4">
      <c r="A62" s="25"/>
      <c r="B62" s="25" t="s">
        <v>74</v>
      </c>
      <c r="C62" s="26">
        <f>SUM(C45:C61)</f>
        <v>1991.25</v>
      </c>
      <c r="D62" s="25"/>
    </row>
    <row r="64" ht="22" customHeight="1" spans="1:4">
      <c r="A64" s="18" t="s">
        <v>75</v>
      </c>
      <c r="B64" s="19"/>
      <c r="C64" s="19"/>
      <c r="D64" s="20"/>
    </row>
    <row r="65" spans="1:4">
      <c r="A65" s="21" t="s">
        <v>76</v>
      </c>
      <c r="B65" s="21" t="s">
        <v>77</v>
      </c>
      <c r="C65" s="22">
        <v>20</v>
      </c>
      <c r="D65" s="21" t="s">
        <v>78</v>
      </c>
    </row>
    <row r="66" spans="1:4">
      <c r="A66" s="21" t="s">
        <v>76</v>
      </c>
      <c r="B66" s="21" t="s">
        <v>79</v>
      </c>
      <c r="C66" s="22">
        <v>35</v>
      </c>
      <c r="D66" s="21" t="s">
        <v>78</v>
      </c>
    </row>
    <row r="67" spans="1:4">
      <c r="A67" s="21" t="s">
        <v>76</v>
      </c>
      <c r="B67" s="21" t="s">
        <v>80</v>
      </c>
      <c r="C67" s="22">
        <v>40.5</v>
      </c>
      <c r="D67" s="21" t="s">
        <v>81</v>
      </c>
    </row>
    <row r="68" spans="1:4">
      <c r="A68" s="21" t="s">
        <v>76</v>
      </c>
      <c r="B68" s="21" t="s">
        <v>82</v>
      </c>
      <c r="C68" s="22">
        <v>109</v>
      </c>
      <c r="D68" s="21" t="s">
        <v>76</v>
      </c>
    </row>
    <row r="69" spans="1:4">
      <c r="A69" s="21" t="s">
        <v>76</v>
      </c>
      <c r="B69" s="21" t="s">
        <v>83</v>
      </c>
      <c r="C69" s="22">
        <v>48</v>
      </c>
      <c r="D69" s="21" t="s">
        <v>76</v>
      </c>
    </row>
    <row r="70" spans="1:4">
      <c r="A70" s="21" t="s">
        <v>76</v>
      </c>
      <c r="B70" s="21" t="s">
        <v>84</v>
      </c>
      <c r="C70" s="22">
        <v>14</v>
      </c>
      <c r="D70" s="21" t="s">
        <v>76</v>
      </c>
    </row>
    <row r="71" spans="1:4">
      <c r="A71" s="21" t="s">
        <v>76</v>
      </c>
      <c r="B71" s="21" t="s">
        <v>85</v>
      </c>
      <c r="C71" s="22">
        <v>10</v>
      </c>
      <c r="D71" s="21" t="s">
        <v>76</v>
      </c>
    </row>
    <row r="72" spans="1:4">
      <c r="A72" s="23"/>
      <c r="B72" s="23"/>
      <c r="C72" s="24"/>
      <c r="D72" s="23"/>
    </row>
    <row r="73" spans="1:4">
      <c r="A73" s="23"/>
      <c r="B73" s="23"/>
      <c r="C73" s="24"/>
      <c r="D73" s="23"/>
    </row>
    <row r="74" spans="1:4">
      <c r="A74" s="23"/>
      <c r="B74" s="23"/>
      <c r="C74" s="24"/>
      <c r="D74" s="23"/>
    </row>
    <row r="75" spans="1:4">
      <c r="A75" s="23"/>
      <c r="B75" s="23"/>
      <c r="C75" s="24"/>
      <c r="D75" s="23"/>
    </row>
    <row r="76" spans="1:4">
      <c r="A76" s="23"/>
      <c r="B76" s="23"/>
      <c r="C76" s="24"/>
      <c r="D76" s="23"/>
    </row>
    <row r="77" spans="1:4">
      <c r="A77" s="25"/>
      <c r="B77" s="25" t="s">
        <v>86</v>
      </c>
      <c r="C77" s="26">
        <f>SUM(C65:C76)</f>
        <v>276.5</v>
      </c>
      <c r="D77" s="25"/>
    </row>
    <row r="79" ht="24" customHeight="1" spans="1:4">
      <c r="A79" s="27"/>
      <c r="B79" s="27" t="s">
        <v>87</v>
      </c>
      <c r="C79" s="28">
        <f>C15+C42+C62+C77</f>
        <v>19775.7</v>
      </c>
      <c r="D79" s="27"/>
    </row>
    <row r="81" spans="1:1">
      <c r="A81" t="s">
        <v>88</v>
      </c>
    </row>
  </sheetData>
  <mergeCells count="6">
    <mergeCell ref="A1:D1"/>
    <mergeCell ref="A3:D3"/>
    <mergeCell ref="A17:D17"/>
    <mergeCell ref="A44:D44"/>
    <mergeCell ref="A64:D64"/>
    <mergeCell ref="A81:D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workbookViewId="0">
      <selection activeCell="A59" sqref="A59"/>
    </sheetView>
  </sheetViews>
  <sheetFormatPr defaultColWidth="9" defaultRowHeight="13.5" outlineLevelCol="3"/>
  <cols>
    <col min="1" max="1" width="20" customWidth="1"/>
    <col min="2" max="2" width="30" customWidth="1"/>
    <col min="3" max="3" width="16" customWidth="1"/>
    <col min="4" max="4" width="30" customWidth="1"/>
  </cols>
  <sheetData>
    <row r="1" ht="34" customHeight="1" spans="1:4">
      <c r="A1" s="16" t="s">
        <v>89</v>
      </c>
    </row>
    <row r="2" ht="24" customHeight="1" spans="1:4">
      <c r="A2" s="17" t="s">
        <v>90</v>
      </c>
      <c r="B2" s="17" t="s">
        <v>91</v>
      </c>
      <c r="C2" s="17" t="s">
        <v>3</v>
      </c>
      <c r="D2" s="17" t="s">
        <v>4</v>
      </c>
    </row>
    <row r="3" ht="22" customHeight="1" spans="1:4">
      <c r="A3" s="18" t="s">
        <v>92</v>
      </c>
      <c r="B3" s="19"/>
      <c r="C3" s="19"/>
      <c r="D3" s="20"/>
    </row>
    <row r="4" spans="1:4">
      <c r="A4" s="21" t="s">
        <v>93</v>
      </c>
      <c r="B4" s="21" t="s">
        <v>94</v>
      </c>
      <c r="C4" s="22">
        <v>85.5</v>
      </c>
      <c r="D4" s="21" t="s">
        <v>95</v>
      </c>
    </row>
    <row r="5" spans="1:4">
      <c r="A5" s="21" t="s">
        <v>93</v>
      </c>
      <c r="B5" s="21" t="s">
        <v>96</v>
      </c>
      <c r="C5" s="22">
        <v>161.5</v>
      </c>
      <c r="D5" s="21" t="s">
        <v>97</v>
      </c>
    </row>
    <row r="6" spans="1:4">
      <c r="A6" s="21" t="s">
        <v>93</v>
      </c>
      <c r="B6" s="21" t="s">
        <v>98</v>
      </c>
      <c r="C6" s="22">
        <v>123.5</v>
      </c>
      <c r="D6" s="21" t="s">
        <v>97</v>
      </c>
    </row>
    <row r="7" spans="1:4">
      <c r="A7" s="21" t="s">
        <v>93</v>
      </c>
      <c r="B7" s="21" t="s">
        <v>99</v>
      </c>
      <c r="C7" s="22">
        <v>9.5</v>
      </c>
      <c r="D7" s="21" t="s">
        <v>97</v>
      </c>
    </row>
    <row r="8" spans="1:4">
      <c r="A8" s="21" t="s">
        <v>93</v>
      </c>
      <c r="B8" s="21" t="s">
        <v>100</v>
      </c>
      <c r="C8" s="22">
        <v>115</v>
      </c>
      <c r="D8" s="21" t="s">
        <v>97</v>
      </c>
    </row>
    <row r="9" spans="1:4">
      <c r="A9" s="21" t="s">
        <v>93</v>
      </c>
      <c r="B9" s="21" t="s">
        <v>101</v>
      </c>
      <c r="C9" s="22">
        <v>9.5</v>
      </c>
      <c r="D9" s="21" t="s">
        <v>97</v>
      </c>
    </row>
    <row r="10" spans="1:4">
      <c r="A10" s="21" t="s">
        <v>93</v>
      </c>
      <c r="B10" s="21" t="s">
        <v>102</v>
      </c>
      <c r="C10" s="22">
        <v>133</v>
      </c>
      <c r="D10" s="21" t="s">
        <v>97</v>
      </c>
    </row>
    <row r="11" spans="1:4">
      <c r="A11" s="21" t="s">
        <v>93</v>
      </c>
      <c r="B11" s="21" t="s">
        <v>103</v>
      </c>
      <c r="C11" s="22">
        <v>66.5</v>
      </c>
      <c r="D11" s="21" t="s">
        <v>97</v>
      </c>
    </row>
    <row r="12" spans="1:4">
      <c r="A12" s="21" t="s">
        <v>93</v>
      </c>
      <c r="B12" s="21" t="s">
        <v>104</v>
      </c>
      <c r="C12" s="22">
        <v>14.5</v>
      </c>
      <c r="D12" s="21" t="s">
        <v>97</v>
      </c>
    </row>
    <row r="13" spans="1:4">
      <c r="A13" s="21" t="s">
        <v>93</v>
      </c>
      <c r="B13" s="21" t="s">
        <v>105</v>
      </c>
      <c r="C13" s="22">
        <v>14.5</v>
      </c>
      <c r="D13" s="21" t="s">
        <v>97</v>
      </c>
    </row>
    <row r="14" spans="1:4">
      <c r="A14" s="21" t="s">
        <v>93</v>
      </c>
      <c r="B14" s="21" t="s">
        <v>106</v>
      </c>
      <c r="C14" s="22">
        <v>9.5</v>
      </c>
      <c r="D14" s="21" t="s">
        <v>97</v>
      </c>
    </row>
    <row r="15" spans="1:4">
      <c r="A15" s="23" t="s">
        <v>93</v>
      </c>
      <c r="B15" s="23" t="s">
        <v>107</v>
      </c>
      <c r="C15" s="24">
        <v>9.5</v>
      </c>
      <c r="D15" s="23" t="s">
        <v>97</v>
      </c>
    </row>
    <row r="16" spans="1:4">
      <c r="A16" s="23"/>
      <c r="B16" s="23" t="s">
        <v>108</v>
      </c>
      <c r="C16" s="24">
        <v>14</v>
      </c>
      <c r="D16" s="23" t="s">
        <v>97</v>
      </c>
    </row>
    <row r="17" spans="1:4">
      <c r="A17" s="23"/>
      <c r="B17" s="23" t="s">
        <v>109</v>
      </c>
      <c r="C17" s="24">
        <v>9.5</v>
      </c>
      <c r="D17" s="23" t="s">
        <v>97</v>
      </c>
    </row>
    <row r="18" spans="1:4">
      <c r="A18" s="23"/>
      <c r="B18" s="23"/>
      <c r="C18" s="24"/>
      <c r="D18" s="23"/>
    </row>
    <row r="19" spans="1:4">
      <c r="A19" s="23"/>
      <c r="B19" s="23"/>
      <c r="C19" s="24"/>
      <c r="D19" s="23"/>
    </row>
    <row r="20" spans="1:4">
      <c r="A20" s="23"/>
      <c r="B20" s="23"/>
      <c r="C20" s="24"/>
      <c r="D20" s="23"/>
    </row>
    <row r="21" spans="1:4">
      <c r="A21" s="25"/>
      <c r="B21" s="25" t="s">
        <v>110</v>
      </c>
      <c r="C21" s="26">
        <f>SUM(C4:C20)</f>
        <v>775.5</v>
      </c>
      <c r="D21" s="25"/>
    </row>
    <row r="22" ht="22" customHeight="1"/>
    <row r="23" ht="14.25" spans="1:4">
      <c r="A23" s="18" t="s">
        <v>111</v>
      </c>
      <c r="B23" s="19"/>
      <c r="C23" s="19"/>
      <c r="D23" s="20"/>
    </row>
    <row r="24" spans="1:4">
      <c r="A24" s="21" t="s">
        <v>112</v>
      </c>
      <c r="B24" s="21" t="s">
        <v>113</v>
      </c>
      <c r="C24" s="22">
        <v>202</v>
      </c>
      <c r="D24" s="21" t="s">
        <v>114</v>
      </c>
    </row>
    <row r="25" spans="1:4">
      <c r="A25" s="21" t="s">
        <v>112</v>
      </c>
      <c r="B25" s="21" t="s">
        <v>115</v>
      </c>
      <c r="C25" s="22">
        <v>67.45</v>
      </c>
      <c r="D25" s="21" t="s">
        <v>116</v>
      </c>
    </row>
    <row r="26" spans="1:4">
      <c r="A26" s="21" t="s">
        <v>112</v>
      </c>
      <c r="B26" s="21" t="s">
        <v>117</v>
      </c>
      <c r="C26" s="22">
        <v>67.45</v>
      </c>
      <c r="D26" s="21" t="s">
        <v>116</v>
      </c>
    </row>
    <row r="27" spans="1:4">
      <c r="A27" s="21" t="s">
        <v>112</v>
      </c>
      <c r="B27" s="21" t="s">
        <v>118</v>
      </c>
      <c r="C27" s="22">
        <v>66.78</v>
      </c>
      <c r="D27" s="21" t="s">
        <v>116</v>
      </c>
    </row>
    <row r="28" spans="1:4">
      <c r="A28" s="21" t="s">
        <v>112</v>
      </c>
      <c r="B28" s="21" t="s">
        <v>119</v>
      </c>
      <c r="C28" s="22">
        <v>66.78</v>
      </c>
      <c r="D28" s="21" t="s">
        <v>116</v>
      </c>
    </row>
    <row r="29" spans="1:4">
      <c r="A29" s="21" t="s">
        <v>112</v>
      </c>
      <c r="B29" s="21" t="s">
        <v>120</v>
      </c>
      <c r="C29" s="22">
        <v>66.02</v>
      </c>
      <c r="D29" s="21" t="s">
        <v>116</v>
      </c>
    </row>
    <row r="30" spans="1:4">
      <c r="A30" s="21" t="s">
        <v>112</v>
      </c>
      <c r="B30" s="21" t="s">
        <v>121</v>
      </c>
      <c r="C30" s="22">
        <v>65.55</v>
      </c>
      <c r="D30" s="21" t="s">
        <v>116</v>
      </c>
    </row>
    <row r="31" spans="1:4">
      <c r="A31" s="21" t="s">
        <v>112</v>
      </c>
      <c r="B31" s="21" t="s">
        <v>122</v>
      </c>
      <c r="C31" s="22">
        <v>66.02</v>
      </c>
      <c r="D31" s="21" t="s">
        <v>116</v>
      </c>
    </row>
    <row r="32" spans="1:4">
      <c r="A32" s="21" t="s">
        <v>112</v>
      </c>
      <c r="B32" s="21" t="s">
        <v>123</v>
      </c>
      <c r="C32" s="22">
        <v>69.2</v>
      </c>
      <c r="D32" s="21" t="s">
        <v>116</v>
      </c>
    </row>
    <row r="33" spans="1:4">
      <c r="A33" s="21" t="s">
        <v>112</v>
      </c>
      <c r="B33" s="21" t="s">
        <v>124</v>
      </c>
      <c r="C33" s="22">
        <v>68</v>
      </c>
      <c r="D33" s="21" t="s">
        <v>116</v>
      </c>
    </row>
    <row r="34" spans="1:4">
      <c r="A34" s="21" t="s">
        <v>112</v>
      </c>
      <c r="B34" s="21" t="s">
        <v>125</v>
      </c>
      <c r="C34" s="22">
        <v>41</v>
      </c>
      <c r="D34" s="21" t="s">
        <v>116</v>
      </c>
    </row>
    <row r="35" spans="1:4">
      <c r="A35" s="21" t="s">
        <v>112</v>
      </c>
      <c r="B35" s="21" t="s">
        <v>126</v>
      </c>
      <c r="C35" s="22">
        <v>67.7</v>
      </c>
      <c r="D35" s="21" t="s">
        <v>116</v>
      </c>
    </row>
    <row r="36" spans="1:4">
      <c r="A36" s="21" t="s">
        <v>112</v>
      </c>
      <c r="B36" s="21" t="s">
        <v>127</v>
      </c>
      <c r="C36" s="22">
        <v>68</v>
      </c>
      <c r="D36" s="21" t="s">
        <v>116</v>
      </c>
    </row>
    <row r="37" spans="1:4">
      <c r="A37" s="21" t="s">
        <v>112</v>
      </c>
      <c r="B37" s="21" t="s">
        <v>128</v>
      </c>
      <c r="C37" s="22">
        <v>41.82</v>
      </c>
      <c r="D37" s="21" t="s">
        <v>116</v>
      </c>
    </row>
    <row r="38" spans="1:4">
      <c r="A38" s="21" t="s">
        <v>112</v>
      </c>
      <c r="B38" s="21" t="s">
        <v>129</v>
      </c>
      <c r="C38" s="22">
        <v>197</v>
      </c>
      <c r="D38" s="21" t="s">
        <v>116</v>
      </c>
    </row>
    <row r="39" spans="1:4">
      <c r="A39" s="21" t="s">
        <v>112</v>
      </c>
      <c r="B39" s="21" t="s">
        <v>130</v>
      </c>
      <c r="C39" s="22">
        <v>25.84</v>
      </c>
      <c r="D39" s="21" t="s">
        <v>116</v>
      </c>
    </row>
    <row r="40" spans="1:4">
      <c r="A40" s="21" t="s">
        <v>112</v>
      </c>
      <c r="B40" s="21" t="s">
        <v>131</v>
      </c>
      <c r="C40" s="22">
        <v>191.9</v>
      </c>
      <c r="D40" s="21" t="s">
        <v>116</v>
      </c>
    </row>
    <row r="41" spans="1:4">
      <c r="A41" s="21" t="s">
        <v>112</v>
      </c>
      <c r="B41" s="21" t="s">
        <v>132</v>
      </c>
      <c r="C41" s="22">
        <v>111</v>
      </c>
      <c r="D41" s="21" t="s">
        <v>116</v>
      </c>
    </row>
    <row r="42" spans="1:4">
      <c r="A42" s="21" t="s">
        <v>112</v>
      </c>
      <c r="B42" s="21" t="s">
        <v>133</v>
      </c>
      <c r="C42" s="22">
        <v>65</v>
      </c>
      <c r="D42" s="21" t="s">
        <v>116</v>
      </c>
    </row>
    <row r="43" spans="1:4">
      <c r="A43" s="21" t="s">
        <v>112</v>
      </c>
      <c r="B43" s="21" t="s">
        <v>134</v>
      </c>
      <c r="C43" s="22">
        <v>65</v>
      </c>
      <c r="D43" s="21" t="s">
        <v>116</v>
      </c>
    </row>
    <row r="44" spans="1:4">
      <c r="A44" s="23"/>
      <c r="B44" s="23"/>
      <c r="C44" s="24"/>
      <c r="D44" s="23"/>
    </row>
    <row r="45" spans="1:4">
      <c r="A45" s="23"/>
      <c r="B45" s="23"/>
      <c r="C45" s="24"/>
      <c r="D45" s="23"/>
    </row>
    <row r="46" spans="1:4">
      <c r="A46" s="23"/>
      <c r="B46" s="23"/>
      <c r="C46" s="24"/>
      <c r="D46" s="23"/>
    </row>
    <row r="47" spans="1:4">
      <c r="A47" s="23"/>
      <c r="B47" s="23"/>
      <c r="C47" s="24"/>
      <c r="D47" s="23"/>
    </row>
    <row r="48" spans="1:4">
      <c r="A48" s="25"/>
      <c r="B48" s="25" t="s">
        <v>135</v>
      </c>
      <c r="C48" s="26">
        <f>SUM(C24:C47)</f>
        <v>1679.51</v>
      </c>
      <c r="D48" s="25"/>
    </row>
    <row r="50" ht="24" customHeight="1" spans="1:4">
      <c r="A50" s="27"/>
      <c r="B50" s="27" t="s">
        <v>136</v>
      </c>
      <c r="C50" s="28">
        <f>C21+C48</f>
        <v>2455.01</v>
      </c>
      <c r="D50" s="27"/>
    </row>
    <row r="52" spans="1:4">
      <c r="A52" t="s">
        <v>137</v>
      </c>
    </row>
  </sheetData>
  <mergeCells count="4">
    <mergeCell ref="A1:D1"/>
    <mergeCell ref="A3:D3"/>
    <mergeCell ref="A22:D22"/>
    <mergeCell ref="A52:D5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9" sqref="A9:C9"/>
    </sheetView>
  </sheetViews>
  <sheetFormatPr defaultColWidth="9" defaultRowHeight="13.5" outlineLevelCol="2"/>
  <cols>
    <col min="1" max="1" width="28" customWidth="1"/>
    <col min="2" max="2" width="16" customWidth="1"/>
    <col min="3" max="3" width="50" customWidth="1"/>
  </cols>
  <sheetData>
    <row r="1" ht="38" customHeight="1" spans="1:3">
      <c r="A1" s="1" t="s">
        <v>138</v>
      </c>
    </row>
    <row r="2" ht="28" customHeight="1" spans="1:3">
      <c r="A2" s="2" t="s">
        <v>139</v>
      </c>
      <c r="B2" s="2" t="s">
        <v>3</v>
      </c>
      <c r="C2" s="3" t="s">
        <v>140</v>
      </c>
    </row>
    <row r="3" ht="16.5" customHeight="1" spans="1:3">
      <c r="A3" s="4" t="s">
        <v>141</v>
      </c>
      <c r="B3" s="5">
        <f>支出明细表!C79</f>
        <v>19775.7</v>
      </c>
      <c r="C3" s="6" t="s">
        <v>142</v>
      </c>
    </row>
    <row r="4" ht="16.5" customHeight="1" spans="1:3">
      <c r="A4" s="7" t="s">
        <v>143</v>
      </c>
      <c r="B4" s="8">
        <f>游戏变现收入明细表!C50</f>
        <v>2455.01</v>
      </c>
      <c r="C4" s="9" t="s">
        <v>144</v>
      </c>
    </row>
    <row r="5" ht="18" customHeight="1" spans="1:3">
      <c r="A5" s="10" t="s">
        <v>145</v>
      </c>
      <c r="B5" s="11">
        <f>B3-B4</f>
        <v>17320.69</v>
      </c>
      <c r="C5" s="12" t="s">
        <v>146</v>
      </c>
    </row>
    <row r="7" ht="18" customHeight="1" spans="1:3">
      <c r="A7" s="13" t="s">
        <v>147</v>
      </c>
    </row>
    <row r="8" ht="22" customHeight="1" spans="1:3">
      <c r="A8" s="14" t="s">
        <v>148</v>
      </c>
    </row>
    <row r="9" ht="22" customHeight="1" spans="1:3">
      <c r="A9" s="14" t="s">
        <v>149</v>
      </c>
    </row>
    <row r="10" ht="22" customHeight="1" spans="1:3">
      <c r="A10" s="14" t="s">
        <v>150</v>
      </c>
    </row>
    <row r="11" ht="22" customHeight="1" spans="1:3">
      <c r="A11" s="14" t="s">
        <v>151</v>
      </c>
    </row>
    <row r="12" ht="22" customHeight="1" spans="1:3">
      <c r="A12" s="14" t="s">
        <v>152</v>
      </c>
    </row>
    <row r="14" ht="16.5" customHeight="1" spans="1:3">
      <c r="A14" s="15" t="s">
        <v>153</v>
      </c>
    </row>
  </sheetData>
  <mergeCells count="8">
    <mergeCell ref="A1:C1"/>
    <mergeCell ref="A7:C7"/>
    <mergeCell ref="A8:C8"/>
    <mergeCell ref="A9:C9"/>
    <mergeCell ref="A10:C10"/>
    <mergeCell ref="A11:C11"/>
    <mergeCell ref="A12:C12"/>
    <mergeCell ref="A14:C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支出明细表</vt:lpstr>
      <vt:lpstr>游戏变现收入明细表</vt:lpstr>
      <vt:lpstr>成本核算汇总表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十六</cp:lastModifiedBy>
  <dcterms:created xsi:type="dcterms:W3CDTF">2026-07-24T07:19:00Z</dcterms:created>
  <dcterms:modified xsi:type="dcterms:W3CDTF">2026-09-25T16:23:03Z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5AD09BDA83BE459CA7C2717B385EB23C_12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