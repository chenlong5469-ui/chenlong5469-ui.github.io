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<sst xmlns="http://schemas.openxmlformats.org/spreadsheetml/2006/main" count="232" uniqueCount="125">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</sst>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0"/>
  <sheetViews>
    <sheetView topLeftCell="A25" workbookViewId="0">
      <selection activeCell="C41" sqref="C40:C41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 t="s">
        <v>32</v>
      </c>
      <c r="C25" s="19">
        <v>15</v>
      </c>
      <c r="D25" s="18"/>
    </row>
    <row r="26" ht="16.5" spans="1:4">
      <c r="A26" s="18" t="s">
        <v>19</v>
      </c>
      <c r="B26" s="18" t="s">
        <v>33</v>
      </c>
      <c r="C26" s="19">
        <v>1.05</v>
      </c>
      <c r="D26" s="18"/>
    </row>
    <row r="27" ht="16.5" spans="1:4">
      <c r="A27" s="18" t="s">
        <v>19</v>
      </c>
      <c r="B27" s="18" t="s">
        <v>34</v>
      </c>
      <c r="C27" s="19">
        <v>25</v>
      </c>
      <c r="D27" s="18" t="s">
        <v>35</v>
      </c>
    </row>
    <row r="28" ht="16.5" spans="1:4">
      <c r="A28" s="18" t="s">
        <v>19</v>
      </c>
      <c r="B28" s="18" t="s">
        <v>36</v>
      </c>
      <c r="C28" s="19">
        <v>20</v>
      </c>
      <c r="D28" s="18"/>
    </row>
    <row r="29" ht="16.5" spans="1:4">
      <c r="A29" s="18" t="s">
        <v>19</v>
      </c>
      <c r="B29" s="18" t="s">
        <v>37</v>
      </c>
      <c r="C29" s="19">
        <v>30</v>
      </c>
      <c r="D29" s="18"/>
    </row>
    <row r="30" ht="16.5" spans="1:4">
      <c r="A30" s="18" t="s">
        <v>19</v>
      </c>
      <c r="B30" s="18" t="s">
        <v>38</v>
      </c>
      <c r="C30" s="19">
        <v>290</v>
      </c>
      <c r="D30" s="18">
        <v>9</v>
      </c>
    </row>
    <row r="31" ht="16.5" spans="1:4">
      <c r="A31" s="18" t="s">
        <v>19</v>
      </c>
      <c r="B31" s="18" t="s">
        <v>37</v>
      </c>
      <c r="C31" s="19">
        <v>50</v>
      </c>
      <c r="D31" s="18"/>
    </row>
    <row r="32" ht="16.5" spans="1:4">
      <c r="A32" s="18" t="s">
        <v>19</v>
      </c>
      <c r="B32" s="20"/>
      <c r="C32" s="21"/>
      <c r="D32" s="20"/>
    </row>
    <row r="33" ht="15" spans="1:4">
      <c r="A33" s="20" t="s">
        <v>15</v>
      </c>
      <c r="B33" s="20" t="s">
        <v>39</v>
      </c>
      <c r="C33" s="21">
        <f>SUM(C16:C31)</f>
        <v>956.05</v>
      </c>
      <c r="D33" s="20" t="s">
        <v>40</v>
      </c>
    </row>
    <row r="34" ht="26" customHeight="1" spans="1:4">
      <c r="A34" s="16" t="s">
        <v>41</v>
      </c>
      <c r="B34" s="17"/>
      <c r="C34" s="17"/>
      <c r="D34" s="17"/>
    </row>
    <row r="35" ht="16.5" spans="1:4">
      <c r="A35" s="9" t="s">
        <v>42</v>
      </c>
      <c r="B35" s="9" t="s">
        <v>43</v>
      </c>
      <c r="C35" s="8">
        <v>128</v>
      </c>
      <c r="D35" s="9" t="s">
        <v>44</v>
      </c>
    </row>
    <row r="36" ht="16.5" spans="1:4">
      <c r="A36" s="9" t="s">
        <v>42</v>
      </c>
      <c r="B36" s="9" t="s">
        <v>45</v>
      </c>
      <c r="C36" s="8">
        <v>140</v>
      </c>
      <c r="D36" s="9" t="s">
        <v>46</v>
      </c>
    </row>
    <row r="37" ht="16.5" spans="1:4">
      <c r="A37" s="9" t="s">
        <v>42</v>
      </c>
      <c r="B37" s="9" t="s">
        <v>47</v>
      </c>
      <c r="C37" s="8">
        <v>120</v>
      </c>
      <c r="D37" s="9" t="s">
        <v>44</v>
      </c>
    </row>
    <row r="38" ht="16.5" spans="1:4">
      <c r="A38" s="9" t="s">
        <v>42</v>
      </c>
      <c r="B38" s="9" t="s">
        <v>48</v>
      </c>
      <c r="C38" s="8">
        <v>168</v>
      </c>
      <c r="D38" s="9" t="s">
        <v>49</v>
      </c>
    </row>
    <row r="39" ht="16.5" spans="1:4">
      <c r="A39" s="9" t="s">
        <v>42</v>
      </c>
      <c r="B39" s="9" t="s">
        <v>50</v>
      </c>
      <c r="C39" s="8">
        <v>106</v>
      </c>
      <c r="D39" s="9" t="s">
        <v>51</v>
      </c>
    </row>
    <row r="40" ht="16.5" spans="1:4">
      <c r="A40" s="18" t="s">
        <v>42</v>
      </c>
      <c r="B40" s="18" t="s">
        <v>52</v>
      </c>
      <c r="C40" s="19">
        <v>68.25</v>
      </c>
      <c r="D40" s="9" t="s">
        <v>46</v>
      </c>
    </row>
    <row r="41" ht="16.5" spans="1:4">
      <c r="A41" s="18" t="s">
        <v>42</v>
      </c>
      <c r="B41" s="18" t="s">
        <v>53</v>
      </c>
      <c r="C41" s="19">
        <v>65</v>
      </c>
      <c r="D41" s="9" t="s">
        <v>46</v>
      </c>
    </row>
    <row r="42" ht="16.5" spans="1:4">
      <c r="A42" s="18" t="s">
        <v>42</v>
      </c>
      <c r="B42" s="18" t="s">
        <v>54</v>
      </c>
      <c r="C42" s="19">
        <v>409</v>
      </c>
      <c r="D42" s="18" t="s">
        <v>55</v>
      </c>
    </row>
    <row r="43" ht="16.5" spans="1:4">
      <c r="A43" s="18" t="s">
        <v>42</v>
      </c>
      <c r="B43" s="18"/>
      <c r="C43" s="19"/>
      <c r="D43" s="18"/>
    </row>
    <row r="44" ht="16.5" spans="1:4">
      <c r="A44" s="18" t="s">
        <v>42</v>
      </c>
      <c r="B44" s="18"/>
      <c r="C44" s="19"/>
      <c r="D44" s="18"/>
    </row>
    <row r="45" ht="15" spans="1:4">
      <c r="A45" s="20" t="s">
        <v>15</v>
      </c>
      <c r="B45" s="20" t="s">
        <v>56</v>
      </c>
      <c r="C45" s="21">
        <f>SUM(C35:C44)</f>
        <v>1204.25</v>
      </c>
      <c r="D45" s="20" t="s">
        <v>57</v>
      </c>
    </row>
    <row r="46" ht="26" customHeight="1" spans="1:4">
      <c r="A46" s="16" t="s">
        <v>58</v>
      </c>
      <c r="B46" s="17"/>
      <c r="C46" s="17"/>
      <c r="D46" s="17"/>
    </row>
    <row r="47" ht="16.5" spans="1:4">
      <c r="A47" s="9" t="s">
        <v>59</v>
      </c>
      <c r="B47" s="9" t="s">
        <v>60</v>
      </c>
      <c r="C47" s="8">
        <v>20</v>
      </c>
      <c r="D47" s="9" t="s">
        <v>61</v>
      </c>
    </row>
    <row r="48" ht="16.5" spans="1:4">
      <c r="A48" s="9" t="s">
        <v>59</v>
      </c>
      <c r="B48" s="9" t="s">
        <v>62</v>
      </c>
      <c r="C48" s="8">
        <v>35</v>
      </c>
      <c r="D48" s="9" t="s">
        <v>61</v>
      </c>
    </row>
    <row r="49" ht="16.5" spans="1:4">
      <c r="A49" s="9" t="s">
        <v>59</v>
      </c>
      <c r="B49" s="9" t="s">
        <v>63</v>
      </c>
      <c r="C49" s="8">
        <v>40.5</v>
      </c>
      <c r="D49" s="9" t="s">
        <v>64</v>
      </c>
    </row>
    <row r="50" ht="16.5" spans="1:4">
      <c r="A50" s="18" t="s">
        <v>59</v>
      </c>
      <c r="B50" s="18"/>
      <c r="C50" s="19"/>
      <c r="D50" s="18"/>
    </row>
    <row r="51" ht="16.5" spans="1:4">
      <c r="A51" s="18" t="s">
        <v>59</v>
      </c>
      <c r="B51" s="18"/>
      <c r="C51" s="19"/>
      <c r="D51" s="18"/>
    </row>
    <row r="52" ht="16.5" spans="1:4">
      <c r="A52" s="18" t="s">
        <v>59</v>
      </c>
      <c r="B52" s="18"/>
      <c r="C52" s="19"/>
      <c r="D52" s="18"/>
    </row>
    <row r="53" ht="16.5" spans="1:4">
      <c r="A53" s="18" t="s">
        <v>59</v>
      </c>
      <c r="B53" s="18"/>
      <c r="C53" s="19"/>
      <c r="D53" s="18"/>
    </row>
    <row r="54" ht="16.5" spans="1:4">
      <c r="A54" s="18" t="s">
        <v>59</v>
      </c>
      <c r="B54" s="18"/>
      <c r="C54" s="19"/>
      <c r="D54" s="18"/>
    </row>
    <row r="55" ht="15" spans="1:4">
      <c r="A55" s="20" t="s">
        <v>15</v>
      </c>
      <c r="B55" s="20" t="s">
        <v>65</v>
      </c>
      <c r="C55" s="21">
        <f>SUM(C47:C54)</f>
        <v>95.5</v>
      </c>
      <c r="D55" s="20" t="s">
        <v>66</v>
      </c>
    </row>
    <row r="57" ht="18" spans="1:4">
      <c r="A57" s="22" t="s">
        <v>15</v>
      </c>
      <c r="B57" s="22" t="s">
        <v>67</v>
      </c>
      <c r="C57" s="11">
        <f>C14+C33+C45+C55</f>
        <v>4932.7</v>
      </c>
      <c r="D57" s="22" t="s">
        <v>68</v>
      </c>
    </row>
    <row r="59" ht="16.5" spans="1:4">
      <c r="A59" s="14" t="s">
        <v>69</v>
      </c>
    </row>
    <row r="60" ht="16.5" spans="1:4">
      <c r="A60" s="14" t="s">
        <v>70</v>
      </c>
    </row>
  </sheetData>
  <mergeCells count="7">
    <mergeCell ref="A1:D1"/>
    <mergeCell ref="A3:D3"/>
    <mergeCell ref="A15:D15"/>
    <mergeCell ref="A34:D34"/>
    <mergeCell ref="A46:D46"/>
    <mergeCell ref="A59:D59"/>
    <mergeCell ref="A60:D6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F13" sqref="F13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71</v>
      </c>
    </row>
    <row r="2" ht="28" customHeight="1" spans="1:4">
      <c r="A2" s="2" t="s">
        <v>72</v>
      </c>
      <c r="B2" s="2" t="s">
        <v>73</v>
      </c>
      <c r="C2" s="3" t="s">
        <v>3</v>
      </c>
      <c r="D2" s="2" t="s">
        <v>4</v>
      </c>
    </row>
    <row r="3" ht="26" customHeight="1" spans="1:4">
      <c r="A3" s="16" t="s">
        <v>74</v>
      </c>
      <c r="B3" s="17"/>
      <c r="C3" s="17"/>
      <c r="D3" s="17"/>
    </row>
    <row r="4" ht="16.5" spans="1:4">
      <c r="A4" s="9" t="s">
        <v>75</v>
      </c>
      <c r="B4" s="9" t="s">
        <v>76</v>
      </c>
      <c r="C4" s="8">
        <v>85.5</v>
      </c>
      <c r="D4" s="9" t="s">
        <v>77</v>
      </c>
    </row>
    <row r="5" ht="16.5" spans="1:4">
      <c r="A5" s="18" t="s">
        <v>75</v>
      </c>
      <c r="B5" s="18" t="s">
        <v>78</v>
      </c>
      <c r="C5" s="19">
        <v>161.5</v>
      </c>
      <c r="D5" s="18" t="s">
        <v>79</v>
      </c>
    </row>
    <row r="6" ht="16.5" spans="1:4">
      <c r="A6" s="18" t="s">
        <v>75</v>
      </c>
      <c r="B6" s="18" t="s">
        <v>80</v>
      </c>
      <c r="C6" s="19">
        <v>123.5</v>
      </c>
      <c r="D6" s="18" t="s">
        <v>79</v>
      </c>
    </row>
    <row r="7" ht="16.5" spans="1:4">
      <c r="A7" s="18" t="s">
        <v>75</v>
      </c>
      <c r="B7" s="18" t="s">
        <v>81</v>
      </c>
      <c r="C7" s="19">
        <v>9.5</v>
      </c>
      <c r="D7" s="18" t="s">
        <v>79</v>
      </c>
    </row>
    <row r="8" ht="16.5" spans="1:4">
      <c r="A8" s="18" t="s">
        <v>75</v>
      </c>
      <c r="B8" s="18" t="s">
        <v>82</v>
      </c>
      <c r="C8" s="19">
        <v>115</v>
      </c>
      <c r="D8" s="18" t="s">
        <v>79</v>
      </c>
    </row>
    <row r="9" ht="16.5" spans="1:4">
      <c r="A9" s="18" t="s">
        <v>75</v>
      </c>
      <c r="B9" s="18" t="s">
        <v>83</v>
      </c>
      <c r="C9" s="19">
        <v>9.5</v>
      </c>
      <c r="D9" s="18" t="s">
        <v>79</v>
      </c>
    </row>
    <row r="10" ht="16.5" spans="1:4">
      <c r="A10" s="18" t="s">
        <v>75</v>
      </c>
      <c r="B10" s="18" t="s">
        <v>84</v>
      </c>
      <c r="C10" s="19">
        <v>133</v>
      </c>
      <c r="D10" s="18" t="s">
        <v>79</v>
      </c>
    </row>
    <row r="11" ht="16.5" spans="1:4">
      <c r="A11" s="18" t="s">
        <v>75</v>
      </c>
      <c r="B11" s="18" t="s">
        <v>85</v>
      </c>
      <c r="C11" s="19">
        <v>66.5</v>
      </c>
      <c r="D11" s="18" t="s">
        <v>79</v>
      </c>
    </row>
    <row r="12" ht="16.5" spans="1:4">
      <c r="A12" s="18" t="s">
        <v>75</v>
      </c>
      <c r="B12" s="18" t="s">
        <v>86</v>
      </c>
      <c r="C12" s="19">
        <v>9.5</v>
      </c>
      <c r="D12" s="18" t="s">
        <v>79</v>
      </c>
    </row>
    <row r="13" ht="15" spans="1:4">
      <c r="A13" s="20" t="s">
        <v>15</v>
      </c>
      <c r="B13" s="20" t="s">
        <v>87</v>
      </c>
      <c r="C13" s="21">
        <f>SUM(C4:C12)</f>
        <v>713.5</v>
      </c>
      <c r="D13" s="20" t="s">
        <v>15</v>
      </c>
    </row>
    <row r="14" ht="26" customHeight="1" spans="1:4">
      <c r="A14" s="16" t="s">
        <v>88</v>
      </c>
      <c r="B14" s="17"/>
      <c r="C14" s="17"/>
      <c r="D14" s="17"/>
    </row>
    <row r="15" ht="16.5" spans="1:4">
      <c r="A15" s="9" t="s">
        <v>89</v>
      </c>
      <c r="B15" s="9" t="s">
        <v>90</v>
      </c>
      <c r="C15" s="8">
        <v>202</v>
      </c>
      <c r="D15" s="9" t="s">
        <v>91</v>
      </c>
    </row>
    <row r="16" ht="16.5" spans="1:4">
      <c r="A16" s="9" t="s">
        <v>89</v>
      </c>
      <c r="B16" s="9" t="s">
        <v>92</v>
      </c>
      <c r="C16" s="8">
        <v>67.45</v>
      </c>
      <c r="D16" s="9" t="s">
        <v>93</v>
      </c>
    </row>
    <row r="17" ht="16.5" spans="1:4">
      <c r="A17" s="9" t="s">
        <v>89</v>
      </c>
      <c r="B17" s="9" t="s">
        <v>94</v>
      </c>
      <c r="C17" s="8">
        <v>67.45</v>
      </c>
      <c r="D17" s="9" t="s">
        <v>93</v>
      </c>
    </row>
    <row r="18" ht="16.5" spans="1:4">
      <c r="A18" s="9" t="s">
        <v>89</v>
      </c>
      <c r="B18" s="9" t="s">
        <v>95</v>
      </c>
      <c r="C18" s="8">
        <v>66.78</v>
      </c>
      <c r="D18" s="9" t="s">
        <v>93</v>
      </c>
    </row>
    <row r="19" ht="16.5" spans="1:4">
      <c r="A19" s="9" t="s">
        <v>89</v>
      </c>
      <c r="B19" s="9" t="s">
        <v>96</v>
      </c>
      <c r="C19" s="8">
        <v>66.78</v>
      </c>
      <c r="D19" s="9" t="s">
        <v>93</v>
      </c>
    </row>
    <row r="20" ht="16.5" spans="1:4">
      <c r="A20" s="18" t="s">
        <v>89</v>
      </c>
      <c r="B20" s="9" t="s">
        <v>97</v>
      </c>
      <c r="C20" s="19">
        <v>66.02</v>
      </c>
      <c r="D20" s="9" t="s">
        <v>93</v>
      </c>
    </row>
    <row r="21" ht="16.5" spans="1:4">
      <c r="A21" s="18" t="s">
        <v>89</v>
      </c>
      <c r="B21" s="9" t="s">
        <v>98</v>
      </c>
      <c r="C21" s="19">
        <v>65.55</v>
      </c>
      <c r="D21" s="9" t="s">
        <v>93</v>
      </c>
    </row>
    <row r="22" ht="16.5" spans="1:4">
      <c r="A22" s="18" t="s">
        <v>89</v>
      </c>
      <c r="B22" s="9" t="s">
        <v>99</v>
      </c>
      <c r="C22" s="19">
        <v>66.02</v>
      </c>
      <c r="D22" s="9" t="s">
        <v>93</v>
      </c>
    </row>
    <row r="23" ht="16.5" spans="1:4">
      <c r="A23" s="18" t="s">
        <v>89</v>
      </c>
      <c r="B23" s="18" t="s">
        <v>100</v>
      </c>
      <c r="C23" s="19">
        <v>69.2</v>
      </c>
      <c r="D23" s="9" t="s">
        <v>93</v>
      </c>
    </row>
    <row r="24" ht="16.5" spans="1:4">
      <c r="A24" s="18" t="s">
        <v>89</v>
      </c>
      <c r="B24" s="18" t="s">
        <v>101</v>
      </c>
      <c r="C24" s="19">
        <v>68</v>
      </c>
      <c r="D24" s="9" t="s">
        <v>93</v>
      </c>
    </row>
    <row r="25" ht="16.5" spans="1:4">
      <c r="A25" s="18" t="s">
        <v>89</v>
      </c>
      <c r="B25" s="18" t="s">
        <v>102</v>
      </c>
      <c r="C25" s="19">
        <v>41</v>
      </c>
      <c r="D25" s="9" t="s">
        <v>93</v>
      </c>
    </row>
    <row r="26" ht="16.5" spans="1:4">
      <c r="A26" s="18" t="s">
        <v>89</v>
      </c>
      <c r="B26" s="18" t="s">
        <v>103</v>
      </c>
      <c r="C26" s="19">
        <v>67.7</v>
      </c>
      <c r="D26" s="9" t="s">
        <v>93</v>
      </c>
    </row>
    <row r="27" ht="16.5" spans="1:4">
      <c r="A27" s="18" t="s">
        <v>89</v>
      </c>
      <c r="B27" s="18" t="s">
        <v>104</v>
      </c>
      <c r="C27" s="19">
        <v>68</v>
      </c>
      <c r="D27" s="9" t="s">
        <v>93</v>
      </c>
    </row>
    <row r="28" ht="16.5" spans="1:4">
      <c r="A28" s="18" t="s">
        <v>89</v>
      </c>
      <c r="B28" s="18" t="s">
        <v>105</v>
      </c>
      <c r="C28" s="19">
        <v>41.82</v>
      </c>
      <c r="D28" s="9" t="s">
        <v>93</v>
      </c>
    </row>
    <row r="29" ht="15" spans="1:4">
      <c r="A29" s="20" t="s">
        <v>15</v>
      </c>
      <c r="B29" s="20" t="s">
        <v>106</v>
      </c>
      <c r="C29" s="21">
        <f>SUM(C15:C28)</f>
        <v>1023.77</v>
      </c>
      <c r="D29" s="20" t="s">
        <v>15</v>
      </c>
    </row>
    <row r="31" ht="18" spans="1:4">
      <c r="A31" s="22" t="s">
        <v>15</v>
      </c>
      <c r="B31" s="22" t="s">
        <v>107</v>
      </c>
      <c r="C31" s="11">
        <f>C13+C29</f>
        <v>1737.27</v>
      </c>
      <c r="D31" s="22" t="s">
        <v>108</v>
      </c>
    </row>
    <row r="33" ht="16.5" spans="1:1">
      <c r="A33" s="14" t="s">
        <v>109</v>
      </c>
    </row>
  </sheetData>
  <mergeCells count="4">
    <mergeCell ref="A1:D1"/>
    <mergeCell ref="A3:D3"/>
    <mergeCell ref="A14:D14"/>
    <mergeCell ref="A33:D3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D12" sqref="D12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110</v>
      </c>
    </row>
    <row r="2" ht="28" customHeight="1" spans="1:3">
      <c r="A2" s="2" t="s">
        <v>111</v>
      </c>
      <c r="B2" s="2" t="s">
        <v>3</v>
      </c>
      <c r="C2" s="3" t="s">
        <v>112</v>
      </c>
    </row>
    <row r="3" ht="16.5" spans="1:3">
      <c r="A3" s="4" t="s">
        <v>113</v>
      </c>
      <c r="B3" s="5">
        <f>支出明细表!C57</f>
        <v>4932.7</v>
      </c>
      <c r="C3" s="6" t="s">
        <v>114</v>
      </c>
    </row>
    <row r="4" ht="16.5" spans="1:3">
      <c r="A4" s="7" t="s">
        <v>115</v>
      </c>
      <c r="B4" s="8">
        <f>游戏变现收入明细表!C31</f>
        <v>1737.27</v>
      </c>
      <c r="C4" s="9" t="s">
        <v>116</v>
      </c>
    </row>
    <row r="5" ht="18" spans="1:3">
      <c r="A5" s="10" t="s">
        <v>117</v>
      </c>
      <c r="B5" s="11">
        <f>B3-B4</f>
        <v>3195.43</v>
      </c>
      <c r="C5" s="12" t="s">
        <v>118</v>
      </c>
    </row>
    <row r="7" ht="18" spans="1:3">
      <c r="A7" s="13" t="s">
        <v>119</v>
      </c>
    </row>
    <row r="8" ht="22" customHeight="1" spans="1:3">
      <c r="A8" s="14" t="s">
        <v>120</v>
      </c>
    </row>
    <row r="9" ht="22" customHeight="1" spans="1:3">
      <c r="A9" s="14" t="s">
        <v>121</v>
      </c>
    </row>
    <row r="10" ht="22" customHeight="1" spans="1:3">
      <c r="A10" s="14" t="s">
        <v>122</v>
      </c>
    </row>
    <row r="11" ht="22" customHeight="1" spans="1:3">
      <c r="A11" s="14" t="s">
        <v>123</v>
      </c>
    </row>
    <row r="12" ht="22" customHeight="1" spans="1:3">
      <c r="A12" s="14" t="s">
        <v>124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2026-09-07T02:23:59Z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