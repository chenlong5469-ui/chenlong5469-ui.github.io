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7765" windowHeight="13890" tabRatio="600" firstSheet="1" activeTab="0" autoFilterDateGrouping="1"/>
  </bookViews>
  <sheets>
    <sheet xmlns:r="http://schemas.openxmlformats.org/officeDocument/2006/relationships" name="支出明细表" sheetId="1" state="visible" r:id="rId1"/>
    <sheet xmlns:r="http://schemas.openxmlformats.org/officeDocument/2006/relationships" name="游戏变现收入明细表" sheetId="2" state="visible" r:id="rId2"/>
    <sheet xmlns:r="http://schemas.openxmlformats.org/officeDocument/2006/relationships" name="成本核算汇总表" sheetId="3" state="visible" r:id="rId3"/>
    <sheet xmlns:r="http://schemas.openxmlformats.org/officeDocument/2006/relationships" name="历史坏账归档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1">
    <font>
      <name val="宋体"/>
      <charset val="134"/>
      <color theme="1"/>
      <sz val="11"/>
      <scheme val="minor"/>
    </font>
    <font>
      <name val="微软雅黑"/>
      <charset val="134"/>
      <b val="1"/>
      <color rgb="FF1F4E79"/>
      <sz val="14"/>
    </font>
    <font>
      <name val="微软雅黑"/>
      <charset val="134"/>
      <b val="1"/>
      <color rgb="FFFFFFFF"/>
      <sz val="11"/>
    </font>
    <font>
      <name val="微软雅黑"/>
      <charset val="134"/>
      <sz val="11"/>
    </font>
    <font>
      <name val="微软雅黑"/>
      <charset val="134"/>
      <b val="1"/>
      <color rgb="FFC00000"/>
      <sz val="12"/>
    </font>
    <font>
      <name val="微软雅黑"/>
      <charset val="134"/>
      <b val="1"/>
      <color rgb="FF1F4E79"/>
      <sz val="12"/>
    </font>
    <font>
      <name val="微软雅黑"/>
      <charset val="134"/>
      <color rgb="FF666666"/>
      <sz val="11"/>
    </font>
    <font>
      <name val="宋体"/>
      <charset val="134"/>
      <b val="1"/>
      <sz val="14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b val="1"/>
      <sz val="12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微软雅黑"/>
      <b val="1"/>
      <color rgb="001F4E79"/>
      <sz val="14"/>
    </font>
    <font>
      <name val="微软雅黑"/>
      <color rgb="00666666"/>
      <sz val="10"/>
    </font>
    <font>
      <name val="微软雅黑"/>
      <b val="1"/>
    </font>
    <font>
      <name val="微软雅黑"/>
      <b val="1"/>
      <color rgb="00C00000"/>
      <sz val="12"/>
    </font>
    <font>
      <name val="微软雅黑"/>
      <b val="1"/>
      <color rgb="00FFFFFF"/>
      <sz val="11"/>
    </font>
    <font>
      <name val="微软雅黑"/>
      <b val="1"/>
      <color rgb="00C65911"/>
      <sz val="11"/>
    </font>
    <font>
      <name val="微软雅黑"/>
      <b val="1"/>
      <sz val="10"/>
    </font>
    <font>
      <name val="微软雅黑"/>
      <b val="1"/>
      <color rgb="00548235"/>
      <sz val="12"/>
    </font>
    <font>
      <name val="微软雅黑"/>
      <b val="1"/>
      <sz val="11"/>
    </font>
    <font>
      <name val="微软雅黑"/>
      <b val="1"/>
      <color rgb="00C00000"/>
    </font>
  </fonts>
  <fills count="48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7FB"/>
        <bgColor rgb="FFF2F7FB"/>
      </patternFill>
    </fill>
    <fill>
      <patternFill patternType="solid">
        <fgColor rgb="FFFFFFFF"/>
        <bgColor rgb="FFFFFFFF"/>
      </patternFill>
    </fill>
    <fill>
      <patternFill patternType="solid">
        <fgColor rgb="FFFFCDD2"/>
        <bgColor rgb="FFFFCDD2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9C4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FFCDD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FFFF99"/>
      </patternFill>
    </fill>
    <fill>
      <patternFill patternType="solid">
        <fgColor rgb="00E2EFDA"/>
      </patternFill>
    </fill>
  </fills>
  <borders count="15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0" fillId="12" borderId="5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7" fillId="0" borderId="6" applyAlignment="1">
      <alignment vertical="center"/>
    </xf>
    <xf numFmtId="0" fontId="18" fillId="0" borderId="6" applyAlignment="1">
      <alignment vertical="center"/>
    </xf>
    <xf numFmtId="0" fontId="19" fillId="0" borderId="7" applyAlignment="1">
      <alignment vertical="center"/>
    </xf>
    <xf numFmtId="0" fontId="19" fillId="0" borderId="0" applyAlignment="1">
      <alignment vertical="center"/>
    </xf>
    <xf numFmtId="0" fontId="20" fillId="13" borderId="8" applyAlignment="1">
      <alignment vertical="center"/>
    </xf>
    <xf numFmtId="0" fontId="21" fillId="14" borderId="9" applyAlignment="1">
      <alignment vertical="center"/>
    </xf>
    <xf numFmtId="0" fontId="22" fillId="14" borderId="8" applyAlignment="1">
      <alignment vertical="center"/>
    </xf>
    <xf numFmtId="0" fontId="23" fillId="15" borderId="10" applyAlignment="1">
      <alignment vertical="center"/>
    </xf>
    <xf numFmtId="0" fontId="24" fillId="0" borderId="11" applyAlignment="1">
      <alignment vertical="center"/>
    </xf>
    <xf numFmtId="0" fontId="25" fillId="0" borderId="12" applyAlignment="1">
      <alignment vertical="center"/>
    </xf>
    <xf numFmtId="0" fontId="26" fillId="16" borderId="0" applyAlignment="1">
      <alignment vertical="center"/>
    </xf>
    <xf numFmtId="0" fontId="27" fillId="17" borderId="0" applyAlignment="1">
      <alignment vertical="center"/>
    </xf>
    <xf numFmtId="0" fontId="28" fillId="18" borderId="0" applyAlignment="1">
      <alignment vertical="center"/>
    </xf>
    <xf numFmtId="0" fontId="29" fillId="19" borderId="0" applyAlignment="1">
      <alignment vertical="center"/>
    </xf>
    <xf numFmtId="0" fontId="30" fillId="20" borderId="0" applyAlignment="1">
      <alignment vertical="center"/>
    </xf>
    <xf numFmtId="0" fontId="30" fillId="21" borderId="0" applyAlignment="1">
      <alignment vertical="center"/>
    </xf>
    <xf numFmtId="0" fontId="29" fillId="22" borderId="0" applyAlignment="1">
      <alignment vertical="center"/>
    </xf>
    <xf numFmtId="0" fontId="29" fillId="23" borderId="0" applyAlignment="1">
      <alignment vertical="center"/>
    </xf>
    <xf numFmtId="0" fontId="30" fillId="24" borderId="0" applyAlignment="1">
      <alignment vertical="center"/>
    </xf>
    <xf numFmtId="0" fontId="30" fillId="25" borderId="0" applyAlignment="1">
      <alignment vertical="center"/>
    </xf>
    <xf numFmtId="0" fontId="29" fillId="26" borderId="0" applyAlignment="1">
      <alignment vertical="center"/>
    </xf>
    <xf numFmtId="0" fontId="29" fillId="27" borderId="0" applyAlignment="1">
      <alignment vertical="center"/>
    </xf>
    <xf numFmtId="0" fontId="30" fillId="28" borderId="0" applyAlignment="1">
      <alignment vertical="center"/>
    </xf>
    <xf numFmtId="0" fontId="30" fillId="29" borderId="0" applyAlignment="1">
      <alignment vertical="center"/>
    </xf>
    <xf numFmtId="0" fontId="29" fillId="30" borderId="0" applyAlignment="1">
      <alignment vertical="center"/>
    </xf>
    <xf numFmtId="0" fontId="29" fillId="31" borderId="0" applyAlignment="1">
      <alignment vertical="center"/>
    </xf>
    <xf numFmtId="0" fontId="30" fillId="32" borderId="0" applyAlignment="1">
      <alignment vertical="center"/>
    </xf>
    <xf numFmtId="0" fontId="30" fillId="33" borderId="0" applyAlignment="1">
      <alignment vertical="center"/>
    </xf>
    <xf numFmtId="0" fontId="29" fillId="34" borderId="0" applyAlignment="1">
      <alignment vertical="center"/>
    </xf>
    <xf numFmtId="0" fontId="29" fillId="35" borderId="0" applyAlignment="1">
      <alignment vertical="center"/>
    </xf>
    <xf numFmtId="0" fontId="30" fillId="36" borderId="0" applyAlignment="1">
      <alignment vertical="center"/>
    </xf>
    <xf numFmtId="0" fontId="30" fillId="37" borderId="0" applyAlignment="1">
      <alignment vertical="center"/>
    </xf>
    <xf numFmtId="0" fontId="29" fillId="38" borderId="0" applyAlignment="1">
      <alignment vertical="center"/>
    </xf>
    <xf numFmtId="0" fontId="29" fillId="39" borderId="0" applyAlignment="1">
      <alignment vertical="center"/>
    </xf>
    <xf numFmtId="0" fontId="30" fillId="40" borderId="0" applyAlignment="1">
      <alignment vertical="center"/>
    </xf>
    <xf numFmtId="0" fontId="30" fillId="41" borderId="0" applyAlignment="1">
      <alignment vertical="center"/>
    </xf>
    <xf numFmtId="0" fontId="29" fillId="42" borderId="0" applyAlignment="1">
      <alignment vertical="center"/>
    </xf>
  </cellStyleXfs>
  <cellXfs count="50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4" fontId="2" fillId="2" borderId="1" applyAlignment="1" pivotButton="0" quotePrefix="0" xfId="0">
      <alignment horizontal="center" vertical="center"/>
    </xf>
    <xf numFmtId="0" fontId="3" fillId="3" borderId="1" pivotButton="0" quotePrefix="0" xfId="0"/>
    <xf numFmtId="4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pivotButton="0" quotePrefix="0" xfId="0"/>
    <xf numFmtId="4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 wrapText="1"/>
    </xf>
    <xf numFmtId="0" fontId="4" fillId="5" borderId="1" pivotButton="0" quotePrefix="0" xfId="0"/>
    <xf numFmtId="4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9" fillId="7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0" fillId="8" borderId="2" pivotButton="0" quotePrefix="0" xfId="0"/>
    <xf numFmtId="4" fontId="10" fillId="8" borderId="2" pivotButton="0" quotePrefix="0" xfId="0"/>
    <xf numFmtId="0" fontId="0" fillId="9" borderId="2" pivotButton="0" quotePrefix="0" xfId="0"/>
    <xf numFmtId="4" fontId="0" fillId="9" borderId="2" pivotButton="0" quotePrefix="0" xfId="0"/>
    <xf numFmtId="0" fontId="11" fillId="10" borderId="2" pivotButton="0" quotePrefix="0" xfId="0"/>
    <xf numFmtId="4" fontId="11" fillId="10" borderId="2" pivotButton="0" quotePrefix="0" xfId="0"/>
    <xf numFmtId="0" fontId="9" fillId="11" borderId="2" pivotButton="0" quotePrefix="0" xfId="0"/>
    <xf numFmtId="4" fontId="9" fillId="11" borderId="2" pivotButton="0" quotePrefix="0" xfId="0"/>
    <xf numFmtId="0" fontId="31" fillId="0" borderId="0" pivotButton="0" quotePrefix="0" xfId="0"/>
    <xf numFmtId="0" fontId="35" fillId="44" borderId="0" applyAlignment="1" pivotButton="0" quotePrefix="0" xfId="0">
      <alignment horizontal="center"/>
    </xf>
    <xf numFmtId="0" fontId="36" fillId="45" borderId="0" pivotButton="0" quotePrefix="0" xfId="0"/>
    <xf numFmtId="0" fontId="0" fillId="45" borderId="0" pivotButton="0" quotePrefix="0" xfId="0"/>
    <xf numFmtId="4" fontId="0" fillId="0" borderId="0" pivotButton="0" quotePrefix="0" xfId="0"/>
    <xf numFmtId="0" fontId="37" fillId="0" borderId="0" pivotButton="0" quotePrefix="0" xfId="0"/>
    <xf numFmtId="4" fontId="37" fillId="0" borderId="0" pivotButton="0" quotePrefix="0" xfId="0"/>
    <xf numFmtId="0" fontId="0" fillId="46" borderId="0" pivotButton="0" quotePrefix="0" xfId="0"/>
    <xf numFmtId="0" fontId="39" fillId="0" borderId="0" pivotButton="0" quotePrefix="0" xfId="0"/>
    <xf numFmtId="4" fontId="39" fillId="47" borderId="0" pivotButton="0" quotePrefix="0" xfId="0"/>
    <xf numFmtId="0" fontId="33" fillId="47" borderId="0" pivotButton="0" quotePrefix="0" xfId="0"/>
    <xf numFmtId="4" fontId="33" fillId="47" borderId="0" pivotButton="0" quotePrefix="0" xfId="0"/>
    <xf numFmtId="0" fontId="0" fillId="47" borderId="0" pivotButton="0" quotePrefix="0" xfId="0"/>
    <xf numFmtId="0" fontId="40" fillId="0" borderId="0" pivotButton="0" quotePrefix="0" xfId="0"/>
    <xf numFmtId="0" fontId="0" fillId="43" borderId="0" pivotButton="0" quotePrefix="0" xfId="0"/>
    <xf numFmtId="4" fontId="0" fillId="43" borderId="0" pivotButton="0" quotePrefix="0" xfId="0"/>
    <xf numFmtId="0" fontId="33" fillId="0" borderId="0" pivotButton="0" quotePrefix="0" xfId="0"/>
    <xf numFmtId="0" fontId="32" fillId="0" borderId="0" pivotButton="0" quotePrefix="0" xfId="0"/>
    <xf numFmtId="0" fontId="34" fillId="0" borderId="0" pivotButton="0" quotePrefix="0" xfId="0"/>
    <xf numFmtId="4" fontId="33" fillId="0" borderId="0" pivotButton="0" quotePrefix="0" xfId="0"/>
    <xf numFmtId="0" fontId="38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2" customWidth="1" min="3" max="3"/>
    <col width="28" customWidth="1" min="4" max="4"/>
  </cols>
  <sheetData>
    <row r="1">
      <c r="A1" s="29" t="inlineStr">
        <is>
          <t>梦幻西游 · 支出明细表（当前新号账期｜黄色行为新增录入区）</t>
        </is>
      </c>
    </row>
    <row r="2">
      <c r="A2" s="30" t="inlineStr">
        <is>
          <t>分类</t>
        </is>
      </c>
      <c r="B2" s="30" t="inlineStr">
        <is>
          <t>明细项目</t>
        </is>
      </c>
      <c r="C2" s="30" t="inlineStr">
        <is>
          <t>金额 (元)</t>
        </is>
      </c>
      <c r="D2" s="30" t="inlineStr">
        <is>
          <t>备注</t>
        </is>
      </c>
    </row>
    <row r="3">
      <c r="A3" s="31" t="inlineStr">
        <is>
          <t>▌角色账号购置</t>
        </is>
      </c>
      <c r="B3" s="32" t="n"/>
      <c r="C3" s="32" t="n"/>
      <c r="D3" s="32" t="n"/>
    </row>
    <row r="4">
      <c r="A4" t="inlineStr">
        <is>
          <t>角色账号购置</t>
        </is>
      </c>
      <c r="B4" t="inlineStr">
        <is>
          <t>无底洞</t>
        </is>
      </c>
      <c r="C4" s="33" t="n">
        <v>2600</v>
      </c>
      <c r="D4" t="inlineStr">
        <is>
          <t>新号（含装备/召唤兽）</t>
        </is>
      </c>
    </row>
    <row r="5">
      <c r="A5" t="inlineStr">
        <is>
          <t>角色账号购置</t>
        </is>
      </c>
      <c r="B5" t="inlineStr">
        <is>
          <t>地府伞</t>
        </is>
      </c>
      <c r="C5" s="33" t="n">
        <v>2600</v>
      </c>
      <c r="D5" t="inlineStr">
        <is>
          <t>新号（含装备/召唤兽）</t>
        </is>
      </c>
    </row>
    <row r="6">
      <c r="A6" t="inlineStr">
        <is>
          <t>角色账号购置</t>
        </is>
      </c>
      <c r="B6" t="inlineStr">
        <is>
          <t>女儿</t>
        </is>
      </c>
      <c r="C6" s="33" t="n">
        <v>2600</v>
      </c>
      <c r="D6" t="inlineStr">
        <is>
          <t>新号（含装备/召唤兽）</t>
        </is>
      </c>
    </row>
    <row r="7">
      <c r="A7" t="inlineStr">
        <is>
          <t>角色账号购置</t>
        </is>
      </c>
      <c r="B7" t="inlineStr">
        <is>
          <t>地府鞭</t>
        </is>
      </c>
      <c r="C7" s="33" t="n">
        <v>2600</v>
      </c>
      <c r="D7" t="inlineStr">
        <is>
          <t>新号（含装备/召唤兽）</t>
        </is>
      </c>
    </row>
    <row r="8">
      <c r="A8" t="inlineStr">
        <is>
          <t>角色账号购置</t>
        </is>
      </c>
      <c r="B8" t="inlineStr">
        <is>
          <t>地府男魔</t>
        </is>
      </c>
      <c r="C8" s="33" t="n">
        <v>2600</v>
      </c>
      <c r="D8" t="inlineStr">
        <is>
          <t>新号（含装备/召唤兽）</t>
        </is>
      </c>
    </row>
    <row r="9">
      <c r="B9" s="34" t="inlineStr">
        <is>
          <t>角色账号购置 小计</t>
        </is>
      </c>
      <c r="C9" s="35">
        <f>SUM(C4:C8)</f>
        <v/>
      </c>
    </row>
    <row r="11">
      <c r="A11" s="31" t="inlineStr">
        <is>
          <t>▌点卡相关</t>
        </is>
      </c>
      <c r="B11" s="32" t="n"/>
      <c r="C11" s="32" t="n"/>
      <c r="D11" s="32" t="n"/>
    </row>
    <row r="12">
      <c r="A12" t="inlineStr">
        <is>
          <t>点卡相关</t>
        </is>
      </c>
      <c r="B12" t="inlineStr">
        <is>
          <t>9月25 新号点卡</t>
        </is>
      </c>
      <c r="C12" s="33" t="n">
        <v>20</v>
      </c>
      <c r="D12" t="inlineStr"/>
    </row>
    <row r="13">
      <c r="A13" t="inlineStr">
        <is>
          <t>点卡相关</t>
        </is>
      </c>
      <c r="B13" t="inlineStr">
        <is>
          <t>月卡</t>
        </is>
      </c>
      <c r="C13" s="33" t="n">
        <v>300</v>
      </c>
      <c r="D13" t="inlineStr"/>
    </row>
    <row r="14">
      <c r="B14" s="34" t="inlineStr">
        <is>
          <t>点卡相关 小计</t>
        </is>
      </c>
      <c r="C14" s="35">
        <f>SUM(C12:C13)</f>
        <v/>
      </c>
    </row>
    <row r="16">
      <c r="A16" s="31" t="inlineStr">
        <is>
          <t>▌召唤兽采购</t>
        </is>
      </c>
      <c r="B16" s="32" t="n"/>
      <c r="C16" s="32" t="n"/>
      <c r="D16" s="32" t="n"/>
    </row>
    <row r="17">
      <c r="A17" s="36" t="n"/>
      <c r="B17" s="36" t="n"/>
      <c r="C17" s="36" t="n"/>
      <c r="D17" s="36" t="n"/>
    </row>
    <row r="18">
      <c r="A18" s="36" t="n"/>
      <c r="B18" s="36" t="n"/>
      <c r="C18" s="36" t="n"/>
      <c r="D18" s="36" t="n"/>
    </row>
    <row r="19">
      <c r="A19" s="36" t="n"/>
      <c r="B19" s="36" t="n"/>
      <c r="C19" s="36" t="n"/>
      <c r="D19" s="36" t="n"/>
    </row>
    <row r="20">
      <c r="A20" s="36" t="n"/>
      <c r="B20" s="36" t="n"/>
      <c r="C20" s="36" t="n"/>
      <c r="D20" s="36" t="n"/>
    </row>
    <row r="21">
      <c r="A21" s="36" t="n"/>
      <c r="B21" s="36" t="n"/>
      <c r="C21" s="36" t="n"/>
      <c r="D21" s="36" t="n"/>
    </row>
    <row r="22">
      <c r="B22" s="34" t="inlineStr">
        <is>
          <t>召唤兽采购 小计</t>
        </is>
      </c>
      <c r="C22" s="35">
        <f>SUM(C17:C21)</f>
        <v/>
      </c>
    </row>
    <row r="24">
      <c r="A24" s="31" t="inlineStr">
        <is>
          <t>▌装备采购</t>
        </is>
      </c>
      <c r="B24" s="32" t="n"/>
      <c r="C24" s="32" t="n"/>
      <c r="D24" s="32" t="n"/>
    </row>
    <row r="25">
      <c r="A25" s="36" t="n"/>
      <c r="B25" s="36" t="n"/>
      <c r="C25" s="36" t="n"/>
      <c r="D25" s="36" t="n"/>
    </row>
    <row r="26">
      <c r="A26" s="36" t="n"/>
      <c r="B26" s="36" t="n"/>
      <c r="C26" s="36" t="n"/>
      <c r="D26" s="36" t="n"/>
    </row>
    <row r="27">
      <c r="A27" s="36" t="n"/>
      <c r="B27" s="36" t="n"/>
      <c r="C27" s="36" t="n"/>
      <c r="D27" s="36" t="n"/>
    </row>
    <row r="28">
      <c r="A28" s="36" t="n"/>
      <c r="B28" s="36" t="n"/>
      <c r="C28" s="36" t="n"/>
      <c r="D28" s="36" t="n"/>
    </row>
    <row r="29">
      <c r="A29" s="36" t="n"/>
      <c r="B29" s="36" t="n"/>
      <c r="C29" s="36" t="n"/>
      <c r="D29" s="36" t="n"/>
    </row>
    <row r="30">
      <c r="B30" s="34" t="inlineStr">
        <is>
          <t>装备采购 小计</t>
        </is>
      </c>
      <c r="C30" s="35">
        <f>SUM(C25:C29)</f>
        <v/>
      </c>
    </row>
    <row r="32">
      <c r="B32" s="37" t="inlineStr">
        <is>
          <t>全部支出合计</t>
        </is>
      </c>
      <c r="C32" s="38">
        <f>C9+C14+C22+C30</f>
        <v/>
      </c>
    </row>
    <row r="34">
      <c r="A34" t="inlineStr">
        <is>
          <t>📌 当前仅统计新号账期；旧号数据见「历史坏账归档」。后续旧资产卖出记入变现表并备注【旧号】。</t>
        </is>
      </c>
    </row>
  </sheetData>
  <mergeCells count="2">
    <mergeCell ref="A1:D1"/>
    <mergeCell ref="A34:D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28" customWidth="1" min="4" max="4"/>
  </cols>
  <sheetData>
    <row r="1">
      <c r="A1" s="29" t="inlineStr">
        <is>
          <t>梦幻西游 · 游戏变现收入明细表（当前新号账期｜黄色行为新增录入区）</t>
        </is>
      </c>
    </row>
    <row r="2">
      <c r="A2" s="30" t="inlineStr">
        <is>
          <t>收入分类</t>
        </is>
      </c>
      <c r="B2" s="30" t="inlineStr">
        <is>
          <t>变现项目</t>
        </is>
      </c>
      <c r="C2" s="30" t="inlineStr">
        <is>
          <t>金额 (元)</t>
        </is>
      </c>
      <c r="D2" s="30" t="inlineStr">
        <is>
          <t>备注</t>
        </is>
      </c>
    </row>
    <row r="3">
      <c r="A3" s="31" t="inlineStr">
        <is>
          <t>▌宠物变现</t>
        </is>
      </c>
      <c r="B3" s="32" t="n"/>
      <c r="C3" s="32" t="n"/>
      <c r="D3" s="32" t="n"/>
    </row>
    <row r="4">
      <c r="A4" s="36" t="n"/>
      <c r="B4" s="36" t="n"/>
      <c r="C4" s="36" t="n"/>
      <c r="D4" s="36" t="n"/>
    </row>
    <row r="5">
      <c r="A5" s="36" t="n"/>
      <c r="B5" s="36" t="n"/>
      <c r="C5" s="36" t="n"/>
      <c r="D5" s="36" t="n"/>
    </row>
    <row r="6">
      <c r="A6" s="36" t="n"/>
      <c r="B6" s="36" t="n"/>
      <c r="C6" s="36" t="n"/>
      <c r="D6" s="36" t="n"/>
    </row>
    <row r="7">
      <c r="A7" s="36" t="n"/>
      <c r="B7" s="36" t="n"/>
      <c r="C7" s="36" t="n"/>
      <c r="D7" s="36" t="n"/>
    </row>
    <row r="8">
      <c r="A8" s="36" t="n"/>
      <c r="B8" s="36" t="n"/>
      <c r="C8" s="36" t="n"/>
      <c r="D8" s="36" t="n"/>
    </row>
    <row r="9">
      <c r="A9" s="36" t="n"/>
      <c r="B9" s="36" t="n"/>
      <c r="C9" s="36" t="n"/>
      <c r="D9" s="36" t="n"/>
    </row>
    <row r="10">
      <c r="A10" s="36" t="n"/>
      <c r="B10" s="36" t="n"/>
      <c r="C10" s="36" t="n"/>
      <c r="D10" s="36" t="n"/>
    </row>
    <row r="11">
      <c r="A11" s="36" t="n"/>
      <c r="B11" s="36" t="n"/>
      <c r="C11" s="36" t="n"/>
      <c r="D11" s="36" t="n"/>
    </row>
    <row r="12">
      <c r="B12" s="34" t="inlineStr">
        <is>
          <t>宠物变现 小计</t>
        </is>
      </c>
      <c r="C12" s="35">
        <f>SUM(C4:C11)</f>
        <v/>
      </c>
    </row>
    <row r="14">
      <c r="A14" s="31" t="inlineStr">
        <is>
          <t>▌物资变现</t>
        </is>
      </c>
      <c r="B14" s="32" t="n"/>
      <c r="C14" s="32" t="n"/>
      <c r="D14" s="32" t="n"/>
    </row>
    <row r="15">
      <c r="A15" s="36" t="n"/>
      <c r="B15" s="36" t="n"/>
      <c r="C15" s="36" t="n"/>
      <c r="D15" s="36" t="n"/>
    </row>
    <row r="16">
      <c r="A16" s="36" t="n"/>
      <c r="B16" s="36" t="n"/>
      <c r="C16" s="36" t="n"/>
      <c r="D16" s="36" t="n"/>
    </row>
    <row r="17">
      <c r="A17" s="36" t="n"/>
      <c r="B17" s="36" t="n"/>
      <c r="C17" s="36" t="n"/>
      <c r="D17" s="36" t="n"/>
    </row>
    <row r="18">
      <c r="A18" s="36" t="n"/>
      <c r="B18" s="36" t="n"/>
      <c r="C18" s="36" t="n"/>
      <c r="D18" s="36" t="n"/>
    </row>
    <row r="19">
      <c r="A19" s="36" t="n"/>
      <c r="B19" s="36" t="n"/>
      <c r="C19" s="36" t="n"/>
      <c r="D19" s="36" t="n"/>
    </row>
    <row r="20">
      <c r="A20" s="36" t="n"/>
      <c r="B20" s="36" t="n"/>
      <c r="C20" s="36" t="n"/>
      <c r="D20" s="36" t="n"/>
    </row>
    <row r="21">
      <c r="A21" s="36" t="n"/>
      <c r="B21" s="36" t="n"/>
      <c r="C21" s="36" t="n"/>
      <c r="D21" s="36" t="n"/>
    </row>
    <row r="22">
      <c r="A22" s="36" t="n"/>
      <c r="B22" s="36" t="n"/>
      <c r="C22" s="36" t="n"/>
      <c r="D22" s="36" t="n"/>
    </row>
    <row r="23">
      <c r="B23" s="34" t="inlineStr">
        <is>
          <t>物资变现 小计</t>
        </is>
      </c>
      <c r="C23" s="35">
        <f>SUM(C15:C22)</f>
        <v/>
      </c>
    </row>
    <row r="25">
      <c r="A25" s="31" t="inlineStr">
        <is>
          <t>▌旧号回笼</t>
        </is>
      </c>
      <c r="B25" s="32" t="n"/>
      <c r="C25" s="32" t="n"/>
      <c r="D25" s="32" t="n"/>
    </row>
    <row r="26">
      <c r="A26" s="36" t="n"/>
      <c r="B26" s="36" t="n"/>
      <c r="C26" s="36" t="n"/>
      <c r="D26" s="36" t="n"/>
    </row>
    <row r="27">
      <c r="A27" s="36" t="n"/>
      <c r="B27" s="36" t="n"/>
      <c r="C27" s="36" t="n"/>
      <c r="D27" s="36" t="n"/>
    </row>
    <row r="28">
      <c r="A28" s="36" t="n"/>
      <c r="B28" s="36" t="n"/>
      <c r="C28" s="36" t="n"/>
      <c r="D28" s="36" t="n"/>
    </row>
    <row r="29">
      <c r="A29" s="36" t="n"/>
      <c r="B29" s="36" t="n"/>
      <c r="C29" s="36" t="n"/>
      <c r="D29" s="36" t="n"/>
    </row>
    <row r="30">
      <c r="A30" s="36" t="n"/>
      <c r="B30" s="36" t="n"/>
      <c r="C30" s="36" t="n"/>
      <c r="D30" s="36" t="n"/>
    </row>
    <row r="31">
      <c r="A31" s="36" t="n"/>
      <c r="B31" s="36" t="n"/>
      <c r="C31" s="36" t="n"/>
      <c r="D31" s="36" t="n"/>
    </row>
    <row r="32">
      <c r="A32" s="36" t="n"/>
      <c r="B32" s="36" t="n"/>
      <c r="C32" s="36" t="n"/>
      <c r="D32" s="36" t="n"/>
    </row>
    <row r="33">
      <c r="A33" s="36" t="n"/>
      <c r="B33" s="36" t="n"/>
      <c r="C33" s="36" t="n"/>
      <c r="D33" s="36" t="n"/>
    </row>
    <row r="34">
      <c r="A34" s="36" t="n"/>
      <c r="B34" s="36" t="n"/>
      <c r="C34" s="36" t="n"/>
      <c r="D34" s="36" t="n"/>
    </row>
    <row r="35">
      <c r="A35" s="36" t="n"/>
      <c r="B35" s="36" t="n"/>
      <c r="C35" s="36" t="n"/>
      <c r="D35" s="36" t="n"/>
    </row>
    <row r="36">
      <c r="B36" s="34" t="inlineStr">
        <is>
          <t>旧号回笼 小计</t>
        </is>
      </c>
      <c r="C36" s="35">
        <f>SUM(C26:C35)</f>
        <v/>
      </c>
    </row>
    <row r="38">
      <c r="B38" s="37" t="inlineStr">
        <is>
          <t>全部变现总收入</t>
        </is>
      </c>
      <c r="C38" s="38">
        <f>C12+C23+C36</f>
        <v/>
      </c>
    </row>
    <row r="40">
      <c r="A40" t="inlineStr">
        <is>
          <t>📌 「旧号回笼」用于记录历史坏账资产后续卖出；备注请标【旧号】。旧已变现明细见「历史坏账归档」。</t>
        </is>
      </c>
    </row>
  </sheetData>
  <mergeCells count="2">
    <mergeCell ref="A1:D1"/>
    <mergeCell ref="A40:D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48" customWidth="1" min="3" max="3"/>
  </cols>
  <sheetData>
    <row r="1">
      <c r="A1" s="29" t="inlineStr">
        <is>
          <t>梦幻西游 · 成本核算汇总表（当前新号账期 · 自动计算）</t>
        </is>
      </c>
    </row>
    <row r="2">
      <c r="A2" s="30" t="inlineStr">
        <is>
          <t>核算项目</t>
        </is>
      </c>
      <c r="B2" s="30" t="inlineStr">
        <is>
          <t>金额 (元)</t>
        </is>
      </c>
      <c r="C2" s="30" t="inlineStr">
        <is>
          <t>说明</t>
        </is>
      </c>
    </row>
    <row r="3">
      <c r="A3" t="inlineStr">
        <is>
          <t>游戏总支出</t>
        </is>
      </c>
      <c r="B3" s="33">
        <f>支出明细表!C32</f>
        <v/>
      </c>
      <c r="C3" t="inlineStr">
        <is>
          <t>当前新号：账号（含装宠）、点卡、后续采购</t>
        </is>
      </c>
    </row>
    <row r="4">
      <c r="A4" t="inlineStr">
        <is>
          <t>减：游戏变现总收入</t>
        </is>
      </c>
      <c r="B4" s="33">
        <f>游戏变现收入明细表!C38</f>
        <v/>
      </c>
      <c r="C4" t="inlineStr">
        <is>
          <t>新号变现 + 旧号后续回笼（记入变现表的部分）</t>
        </is>
      </c>
    </row>
    <row r="5">
      <c r="A5" s="39" t="inlineStr">
        <is>
          <t>最新实际净投入</t>
        </is>
      </c>
      <c r="B5" s="40">
        <f>B3-B4</f>
        <v/>
      </c>
      <c r="C5" s="41" t="inlineStr">
        <is>
          <t>当前账期自付成本（不含历史坏账）</t>
        </is>
      </c>
    </row>
    <row r="7">
      <c r="A7" s="42" t="inlineStr">
        <is>
          <t>—— 历史坏账备查（不计入上方净投入）——</t>
        </is>
      </c>
    </row>
    <row r="8">
      <c r="A8" s="43" t="inlineStr">
        <is>
          <t>旧号净坏账（归档）</t>
        </is>
      </c>
      <c r="B8" s="44" t="n">
        <v>4000.69</v>
      </c>
      <c r="C8" s="43" t="inlineStr">
        <is>
          <t>见「历史坏账归档」｜支出 6455.7 − 已变现 2455.01</t>
        </is>
      </c>
    </row>
    <row r="10">
      <c r="A10" s="45" t="inlineStr">
        <is>
          <t>📌 补充说明</t>
        </is>
      </c>
    </row>
    <row r="11">
      <c r="A11" t="inlineStr">
        <is>
          <t>① 2026-09-26 起切换新号账期：主表只统计新号；旧号全部归档为坏账。</t>
        </is>
      </c>
    </row>
    <row r="12">
      <c r="A12" t="inlineStr">
        <is>
          <t>② 新号购置含装备与召唤兽，购号价已体现在「角色账号购置」。</t>
        </is>
      </c>
    </row>
    <row r="13">
      <c r="A13" t="inlineStr">
        <is>
          <t>③ 旧资产后续卖出：记入「游戏变现收入明细表 → 旧号回笼」，备注标【旧号】。</t>
        </is>
      </c>
    </row>
    <row r="14">
      <c r="A14" t="inlineStr">
        <is>
          <t>④ 完整旧明细见工作表「历史坏账归档」，页面汇总不会读取该表。</t>
        </is>
      </c>
    </row>
  </sheetData>
  <mergeCells count="2">
    <mergeCell ref="A1:C1"/>
    <mergeCell ref="A7:C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4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4" customWidth="1" min="3" max="3"/>
    <col width="36" customWidth="1" min="4" max="4"/>
  </cols>
  <sheetData>
    <row r="1">
      <c r="A1" s="29" t="inlineStr">
        <is>
          <t>梦幻西游 · 历史坏账归档（旧号账目，不计入当前成本核算）</t>
        </is>
      </c>
    </row>
    <row r="2">
      <c r="A2" s="46" t="inlineStr">
        <is>
          <t>归档日期：2026-09-26｜旧号支出作坏账，后续旧资产卖出请记入「游戏变现收入明细表」并在备注标【旧号】</t>
        </is>
      </c>
    </row>
    <row r="4">
      <c r="A4" s="45" t="inlineStr">
        <is>
          <t>核算摘要</t>
        </is>
      </c>
    </row>
    <row r="5">
      <c r="A5" s="43" t="inlineStr">
        <is>
          <t>旧号总支出（坏账本金）</t>
        </is>
      </c>
      <c r="B5" s="44" t="n">
        <v>6455.7</v>
      </c>
      <c r="C5" s="43" t="inlineStr">
        <is>
          <t>已归档，不计入当前净投入</t>
        </is>
      </c>
    </row>
    <row r="6">
      <c r="A6" s="43" t="inlineStr">
        <is>
          <t>旧号已变现收入</t>
        </is>
      </c>
      <c r="B6" s="44" t="n">
        <v>2455.01</v>
      </c>
      <c r="C6" s="43" t="inlineStr">
        <is>
          <t>归档时点已回笼金额</t>
        </is>
      </c>
    </row>
    <row r="7">
      <c r="A7" s="43" t="inlineStr">
        <is>
          <t>旧号净坏账</t>
        </is>
      </c>
      <c r="B7" s="44" t="n">
        <v>4000.69</v>
      </c>
      <c r="C7" s="43" t="inlineStr">
        <is>
          <t>支出 − 已变现；后续卖出可继续回血</t>
        </is>
      </c>
    </row>
    <row r="9">
      <c r="A9" s="47" t="inlineStr">
        <is>
          <t>一、历史支出明细（坏账）</t>
        </is>
      </c>
    </row>
    <row r="10">
      <c r="A10" s="30" t="inlineStr">
        <is>
          <t>分类</t>
        </is>
      </c>
      <c r="B10" s="30" t="inlineStr">
        <is>
          <t>明细项目</t>
        </is>
      </c>
      <c r="C10" s="30" t="inlineStr">
        <is>
          <t>金额 (元)</t>
        </is>
      </c>
      <c r="D10" s="30" t="inlineStr">
        <is>
          <t>备注</t>
        </is>
      </c>
    </row>
    <row r="11">
      <c r="A11" s="31" t="inlineStr">
        <is>
          <t>▌角色账号购置</t>
        </is>
      </c>
      <c r="B11" s="32" t="n"/>
      <c r="C11" s="32" t="n"/>
      <c r="D11" s="32" t="n"/>
    </row>
    <row r="12">
      <c r="A12" t="inlineStr">
        <is>
          <t>角色账号购置</t>
        </is>
      </c>
      <c r="B12" t="inlineStr">
        <is>
          <t>巨魔王一号</t>
        </is>
      </c>
      <c r="C12" s="33" t="n">
        <v>391.9</v>
      </c>
      <c r="D12" t="inlineStr">
        <is>
          <t>【旧号坏账】 男角色</t>
        </is>
      </c>
    </row>
    <row r="13">
      <c r="A13" t="inlineStr">
        <is>
          <t>角色账号购置</t>
        </is>
      </c>
      <c r="B13" t="inlineStr">
        <is>
          <t>骨精灵</t>
        </is>
      </c>
      <c r="C13" s="33" t="n">
        <v>400</v>
      </c>
      <c r="D13" t="inlineStr">
        <is>
          <t>【旧号坏账】 女角色</t>
        </is>
      </c>
    </row>
    <row r="14">
      <c r="A14" t="inlineStr">
        <is>
          <t>角色账号购置</t>
        </is>
      </c>
      <c r="B14" t="inlineStr">
        <is>
          <t>杀破狼</t>
        </is>
      </c>
      <c r="C14" s="33" t="n">
        <v>519</v>
      </c>
      <c r="D14" t="inlineStr">
        <is>
          <t>【旧号坏账】 男角色</t>
        </is>
      </c>
    </row>
    <row r="15">
      <c r="A15" t="inlineStr">
        <is>
          <t>角色账号购置</t>
        </is>
      </c>
      <c r="B15" t="inlineStr">
        <is>
          <t>巨魔王二号</t>
        </is>
      </c>
      <c r="C15" s="33" t="n">
        <v>500</v>
      </c>
      <c r="D15" t="inlineStr">
        <is>
          <t>【旧号坏账】 男角色</t>
        </is>
      </c>
    </row>
    <row r="16">
      <c r="A16" t="inlineStr">
        <is>
          <t>角色账号购置</t>
        </is>
      </c>
      <c r="B16" t="inlineStr">
        <is>
          <t>主号男角色</t>
        </is>
      </c>
      <c r="C16" s="33" t="n">
        <v>866</v>
      </c>
      <c r="D16" t="inlineStr">
        <is>
          <t>【旧号坏账】 主力账号</t>
        </is>
      </c>
    </row>
    <row r="17">
      <c r="A17" t="inlineStr">
        <is>
          <t>角色账号购置</t>
        </is>
      </c>
      <c r="B17" t="inlineStr">
        <is>
          <t>巫蛮儿</t>
        </is>
      </c>
      <c r="C17" s="33" t="n">
        <v>460</v>
      </c>
      <c r="D17" t="inlineStr">
        <is>
          <t>【旧号坏账】 女儿村</t>
        </is>
      </c>
    </row>
    <row r="18">
      <c r="B18" s="34" t="inlineStr">
        <is>
          <t>角色账号购置 小计</t>
        </is>
      </c>
      <c r="C18" s="35">
        <f>SUM(C12:C17)</f>
        <v/>
      </c>
    </row>
    <row r="20">
      <c r="A20" s="31" t="inlineStr">
        <is>
          <t>▌点卡相关</t>
        </is>
      </c>
      <c r="B20" s="32" t="n"/>
      <c r="C20" s="32" t="n"/>
      <c r="D20" s="32" t="n"/>
    </row>
    <row r="21">
      <c r="A21" t="inlineStr">
        <is>
          <t>点卡相关</t>
        </is>
      </c>
      <c r="B21" t="inlineStr">
        <is>
          <t>30 元点卡</t>
        </is>
      </c>
      <c r="C21" s="33" t="n">
        <v>30</v>
      </c>
      <c r="D21" t="inlineStr">
        <is>
          <t>【旧号坏账】 原拆分点卡</t>
        </is>
      </c>
    </row>
    <row r="22">
      <c r="A22" t="inlineStr">
        <is>
          <t>点卡相关</t>
        </is>
      </c>
      <c r="B22" t="inlineStr">
        <is>
          <t>20 元点卡</t>
        </is>
      </c>
      <c r="C22" s="33" t="n">
        <v>20</v>
      </c>
      <c r="D22" t="inlineStr">
        <is>
          <t>【旧号坏账】 原拆分点卡</t>
        </is>
      </c>
    </row>
    <row r="23">
      <c r="A23" t="inlineStr">
        <is>
          <t>点卡相关</t>
        </is>
      </c>
      <c r="B23" t="inlineStr">
        <is>
          <t>5 元点卡</t>
        </is>
      </c>
      <c r="C23" s="33" t="n">
        <v>5</v>
      </c>
      <c r="D23" t="inlineStr">
        <is>
          <t>【旧号坏账】 原拆分点卡</t>
        </is>
      </c>
    </row>
    <row r="24">
      <c r="A24" t="inlineStr">
        <is>
          <t>点卡相关</t>
        </is>
      </c>
      <c r="B24" t="inlineStr">
        <is>
          <t>5 元点卡</t>
        </is>
      </c>
      <c r="C24" s="33" t="n">
        <v>5</v>
      </c>
      <c r="D24" t="inlineStr">
        <is>
          <t>【旧号坏账】 原拆分点卡</t>
        </is>
      </c>
    </row>
    <row r="25">
      <c r="A25" t="inlineStr">
        <is>
          <t>点卡相关</t>
        </is>
      </c>
      <c r="B25" t="inlineStr">
        <is>
          <t>5 元点卡</t>
        </is>
      </c>
      <c r="C25" s="33" t="n">
        <v>5</v>
      </c>
      <c r="D25" t="inlineStr">
        <is>
          <t>【旧号坏账】 原拆分点卡</t>
        </is>
      </c>
    </row>
    <row r="26">
      <c r="A26" t="inlineStr">
        <is>
          <t>点卡相关</t>
        </is>
      </c>
      <c r="B26" t="inlineStr">
        <is>
          <t>10 元补充点卡</t>
        </is>
      </c>
      <c r="C26" s="33" t="n">
        <v>10</v>
      </c>
      <c r="D26" t="inlineStr">
        <is>
          <t>【旧号坏账】 漏算补充</t>
        </is>
      </c>
    </row>
    <row r="27">
      <c r="A27" t="inlineStr">
        <is>
          <t>点卡相关</t>
        </is>
      </c>
      <c r="B27" t="inlineStr">
        <is>
          <t>25 元追加点卡</t>
        </is>
      </c>
      <c r="C27" s="33" t="n">
        <v>25</v>
      </c>
      <c r="D27" t="inlineStr">
        <is>
          <t>【旧号坏账】 后期新增</t>
        </is>
      </c>
    </row>
    <row r="28">
      <c r="A28" t="inlineStr">
        <is>
          <t>点卡相关</t>
        </is>
      </c>
      <c r="B28" t="inlineStr">
        <is>
          <t>300 元月卡</t>
        </is>
      </c>
      <c r="C28" s="33" t="n">
        <v>300</v>
      </c>
      <c r="D28" t="inlineStr">
        <is>
          <t>【旧号坏账】 第一轮月卡</t>
        </is>
      </c>
    </row>
    <row r="29">
      <c r="A29" t="inlineStr">
        <is>
          <t>点卡相关</t>
        </is>
      </c>
      <c r="B29" t="inlineStr">
        <is>
          <t>小号点卡第一轮</t>
        </is>
      </c>
      <c r="C29" s="33" t="n">
        <v>125</v>
      </c>
      <c r="D29" t="inlineStr">
        <is>
          <t>【旧号坏账】 小号点卡 30*5支付优惠</t>
        </is>
      </c>
    </row>
    <row r="30">
      <c r="A30" t="inlineStr">
        <is>
          <t>点卡相关</t>
        </is>
      </c>
      <c r="B30" t="inlineStr">
        <is>
          <t>8月21点卡</t>
        </is>
      </c>
      <c r="C30" s="33" t="n">
        <v>15</v>
      </c>
      <c r="D30" t="inlineStr">
        <is>
          <t>【旧号坏账】</t>
        </is>
      </c>
    </row>
    <row r="31">
      <c r="A31" t="inlineStr">
        <is>
          <t>点卡相关</t>
        </is>
      </c>
      <c r="B31" t="inlineStr">
        <is>
          <t>8月24点卡</t>
        </is>
      </c>
      <c r="C31" s="33" t="n">
        <v>1.05</v>
      </c>
      <c r="D31" t="inlineStr">
        <is>
          <t>【旧号坏账】</t>
        </is>
      </c>
    </row>
    <row r="32">
      <c r="A32" t="inlineStr">
        <is>
          <t>点卡相关</t>
        </is>
      </c>
      <c r="B32" t="inlineStr">
        <is>
          <t>8月27点卡</t>
        </is>
      </c>
      <c r="C32" s="33" t="n">
        <v>25</v>
      </c>
      <c r="D32" t="inlineStr">
        <is>
          <t>【旧号坏账】 小号</t>
        </is>
      </c>
    </row>
    <row r="33">
      <c r="A33" t="inlineStr">
        <is>
          <t>点卡相关</t>
        </is>
      </c>
      <c r="B33" t="inlineStr">
        <is>
          <t>8月26点卡</t>
        </is>
      </c>
      <c r="C33" s="33" t="n">
        <v>20</v>
      </c>
      <c r="D33" t="inlineStr">
        <is>
          <t>【旧号坏账】</t>
        </is>
      </c>
    </row>
    <row r="34">
      <c r="A34" t="inlineStr">
        <is>
          <t>点卡相关</t>
        </is>
      </c>
      <c r="B34" t="inlineStr">
        <is>
          <t>8月30点卡</t>
        </is>
      </c>
      <c r="C34" s="33" t="n">
        <v>30</v>
      </c>
      <c r="D34" t="inlineStr">
        <is>
          <t>【旧号坏账】</t>
        </is>
      </c>
    </row>
    <row r="35">
      <c r="A35" t="inlineStr">
        <is>
          <t>点卡相关</t>
        </is>
      </c>
      <c r="B35" t="inlineStr">
        <is>
          <t>9月月卡</t>
        </is>
      </c>
      <c r="C35" s="33" t="n">
        <v>290</v>
      </c>
      <c r="D35" t="inlineStr">
        <is>
          <t>【旧号坏账】</t>
        </is>
      </c>
    </row>
    <row r="36">
      <c r="A36" t="inlineStr">
        <is>
          <t>点卡相关</t>
        </is>
      </c>
      <c r="B36" t="inlineStr">
        <is>
          <t>8月30点卡50</t>
        </is>
      </c>
      <c r="C36" s="33" t="n">
        <v>50</v>
      </c>
      <c r="D36" t="inlineStr">
        <is>
          <t>【旧号坏账】</t>
        </is>
      </c>
    </row>
    <row r="37">
      <c r="A37" t="inlineStr">
        <is>
          <t>点卡相关</t>
        </is>
      </c>
      <c r="B37" t="inlineStr">
        <is>
          <t>9月21点卡</t>
        </is>
      </c>
      <c r="C37" s="33" t="n">
        <v>25</v>
      </c>
      <c r="D37" t="inlineStr">
        <is>
          <t>【旧号坏账】</t>
        </is>
      </c>
    </row>
    <row r="38">
      <c r="A38" t="inlineStr">
        <is>
          <t>点卡相关</t>
        </is>
      </c>
      <c r="B38" t="inlineStr">
        <is>
          <t>9月22点卡</t>
        </is>
      </c>
      <c r="C38" s="33" t="n">
        <v>20</v>
      </c>
      <c r="D38" t="inlineStr">
        <is>
          <t>【旧号坏账】 4个号补</t>
        </is>
      </c>
    </row>
    <row r="39">
      <c r="A39" t="inlineStr">
        <is>
          <t>点卡相关</t>
        </is>
      </c>
      <c r="B39" t="inlineStr">
        <is>
          <t>9月23点卡</t>
        </is>
      </c>
      <c r="C39" s="33" t="n">
        <v>25</v>
      </c>
      <c r="D39" t="inlineStr">
        <is>
          <t>【旧号坏账】</t>
        </is>
      </c>
    </row>
    <row r="40">
      <c r="A40" t="inlineStr">
        <is>
          <t>点卡相关</t>
        </is>
      </c>
      <c r="B40" t="inlineStr">
        <is>
          <t>9月25点卡</t>
        </is>
      </c>
      <c r="C40" s="33" t="n">
        <v>25</v>
      </c>
      <c r="D40" t="inlineStr">
        <is>
          <t>【旧号坏账】</t>
        </is>
      </c>
    </row>
    <row r="41">
      <c r="B41" s="34" t="inlineStr">
        <is>
          <t>点卡相关 小计</t>
        </is>
      </c>
      <c r="C41" s="35">
        <f>SUM(C21:C40)</f>
        <v/>
      </c>
    </row>
    <row r="43">
      <c r="A43" s="31" t="inlineStr">
        <is>
          <t>▌召唤兽采购</t>
        </is>
      </c>
      <c r="B43" s="32" t="n"/>
      <c r="C43" s="32" t="n"/>
      <c r="D43" s="32" t="n"/>
    </row>
    <row r="44">
      <c r="A44" t="inlineStr">
        <is>
          <t>召唤兽采购</t>
        </is>
      </c>
      <c r="B44" t="inlineStr">
        <is>
          <t>蓝书力宠画魂</t>
        </is>
      </c>
      <c r="C44" s="33" t="n">
        <v>128</v>
      </c>
      <c r="D44" t="inlineStr">
        <is>
          <t>【旧号坏账】 力宠（已卖出）</t>
        </is>
      </c>
    </row>
    <row r="45">
      <c r="A45" t="inlineStr">
        <is>
          <t>召唤兽采购</t>
        </is>
      </c>
      <c r="B45" t="inlineStr">
        <is>
          <t>力宠蝴蝶仙子</t>
        </is>
      </c>
      <c r="C45" s="33" t="n">
        <v>140</v>
      </c>
      <c r="D45" t="inlineStr">
        <is>
          <t>【旧号坏账】 力宠</t>
        </is>
      </c>
    </row>
    <row r="46">
      <c r="A46" t="inlineStr">
        <is>
          <t>召唤兽采购</t>
        </is>
      </c>
      <c r="B46" t="inlineStr">
        <is>
          <t>力宠吸血鬼</t>
        </is>
      </c>
      <c r="C46" s="33" t="n">
        <v>120</v>
      </c>
      <c r="D46" t="inlineStr">
        <is>
          <t>【旧号坏账】 力宠（已卖出）</t>
        </is>
      </c>
    </row>
    <row r="47">
      <c r="A47" t="inlineStr">
        <is>
          <t>召唤兽采购</t>
        </is>
      </c>
      <c r="B47" t="inlineStr">
        <is>
          <t>力宠龙鲤</t>
        </is>
      </c>
      <c r="C47" s="33" t="n">
        <v>168</v>
      </c>
      <c r="D47" t="inlineStr">
        <is>
          <t>【旧号坏账】 力宠（已卖出）</t>
        </is>
      </c>
    </row>
    <row r="48">
      <c r="A48" t="inlineStr">
        <is>
          <t>召唤兽采购</t>
        </is>
      </c>
      <c r="B48" t="inlineStr">
        <is>
          <t>购入法宠</t>
        </is>
      </c>
      <c r="C48" s="33" t="n">
        <v>106</v>
      </c>
      <c r="D48" t="inlineStr">
        <is>
          <t>【旧号坏账】 法宠（后续卖出）</t>
        </is>
      </c>
    </row>
    <row r="49">
      <c r="A49" t="inlineStr">
        <is>
          <t>召唤兽采购</t>
        </is>
      </c>
      <c r="B49" t="inlineStr">
        <is>
          <t>79龙鲤</t>
        </is>
      </c>
      <c r="C49" s="33" t="n">
        <v>68.25</v>
      </c>
      <c r="D49" t="inlineStr">
        <is>
          <t>【旧号坏账】 力宠</t>
        </is>
      </c>
    </row>
    <row r="50">
      <c r="A50" t="inlineStr">
        <is>
          <t>召唤兽采购</t>
        </is>
      </c>
      <c r="B50" t="inlineStr">
        <is>
          <t>79龙鲤 2</t>
        </is>
      </c>
      <c r="C50" s="33" t="n">
        <v>65</v>
      </c>
      <c r="D50" t="inlineStr">
        <is>
          <t>【旧号坏账】 力宠</t>
        </is>
      </c>
    </row>
    <row r="51">
      <c r="A51" t="inlineStr">
        <is>
          <t>召唤兽采购</t>
        </is>
      </c>
      <c r="B51" t="inlineStr">
        <is>
          <t>须弥画魂高魔心带套0903</t>
        </is>
      </c>
      <c r="C51" s="33" t="n">
        <v>409</v>
      </c>
      <c r="D51" t="inlineStr">
        <is>
          <t>【旧号坏账】 法宠</t>
        </is>
      </c>
    </row>
    <row r="52">
      <c r="A52" t="inlineStr">
        <is>
          <t>召唤兽采购</t>
        </is>
      </c>
      <c r="B52" t="inlineStr">
        <is>
          <t>龙鲤0908</t>
        </is>
      </c>
      <c r="C52" s="33" t="n">
        <v>177</v>
      </c>
      <c r="D52" t="inlineStr">
        <is>
          <t>【旧号坏账】 力宠</t>
        </is>
      </c>
    </row>
    <row r="53">
      <c r="A53" t="inlineStr">
        <is>
          <t>召唤兽采购</t>
        </is>
      </c>
      <c r="B53" t="inlineStr">
        <is>
          <t>三技能女娲0908</t>
        </is>
      </c>
      <c r="C53" s="33" t="n">
        <v>160</v>
      </c>
      <c r="D53" t="inlineStr">
        <is>
          <t>【旧号坏账】 力宠</t>
        </is>
      </c>
    </row>
    <row r="54">
      <c r="A54" t="inlineStr">
        <is>
          <t>召唤兽采购</t>
        </is>
      </c>
      <c r="B54" t="inlineStr">
        <is>
          <t>雷鸟人须弥 9月20</t>
        </is>
      </c>
      <c r="C54" s="33" t="n">
        <v>210</v>
      </c>
      <c r="D54" t="inlineStr">
        <is>
          <t>【旧号坏账】 须弥法宠</t>
        </is>
      </c>
    </row>
    <row r="55">
      <c r="A55" t="inlineStr">
        <is>
          <t>召唤兽采购</t>
        </is>
      </c>
      <c r="B55" t="inlineStr">
        <is>
          <t>雷鸟人须弥 9月11</t>
        </is>
      </c>
      <c r="C55" s="33" t="n">
        <v>240</v>
      </c>
      <c r="D55" t="inlineStr">
        <is>
          <t>【旧号坏账】 须弥法宠</t>
        </is>
      </c>
    </row>
    <row r="56">
      <c r="B56" s="34" t="inlineStr">
        <is>
          <t>召唤兽采购 小计</t>
        </is>
      </c>
      <c r="C56" s="35">
        <f>SUM(C44:C55)</f>
        <v/>
      </c>
    </row>
    <row r="58">
      <c r="A58" s="31" t="inlineStr">
        <is>
          <t>▌装备采购</t>
        </is>
      </c>
      <c r="B58" s="32" t="n"/>
      <c r="C58" s="32" t="n"/>
      <c r="D58" s="32" t="n"/>
    </row>
    <row r="59">
      <c r="A59" t="inlineStr">
        <is>
          <t>装备采购</t>
        </is>
      </c>
      <c r="B59" t="inlineStr">
        <is>
          <t>主号武器</t>
        </is>
      </c>
      <c r="C59" s="33" t="n">
        <v>20</v>
      </c>
      <c r="D59" t="inlineStr">
        <is>
          <t>【旧号坏账】 主力角色装备</t>
        </is>
      </c>
    </row>
    <row r="60">
      <c r="A60" t="inlineStr">
        <is>
          <t>装备采购</t>
        </is>
      </c>
      <c r="B60" t="inlineStr">
        <is>
          <t>主号鞋子</t>
        </is>
      </c>
      <c r="C60" s="33" t="n">
        <v>35</v>
      </c>
      <c r="D60" t="inlineStr">
        <is>
          <t>【旧号坏账】 主力角色装备</t>
        </is>
      </c>
    </row>
    <row r="61">
      <c r="A61" t="inlineStr">
        <is>
          <t>装备采购</t>
        </is>
      </c>
      <c r="B61" t="inlineStr">
        <is>
          <t>4 角色 100 级国标武器</t>
        </is>
      </c>
      <c r="C61" s="33" t="n">
        <v>40.5</v>
      </c>
      <c r="D61" t="inlineStr">
        <is>
          <t>【旧号坏账】 其余小号武器</t>
        </is>
      </c>
    </row>
    <row r="62">
      <c r="A62" t="inlineStr">
        <is>
          <t>装备采购</t>
        </is>
      </c>
      <c r="B62" t="inlineStr">
        <is>
          <t>后排灵饰109</t>
        </is>
      </c>
      <c r="C62" s="33" t="n">
        <v>109</v>
      </c>
      <c r="D62" t="inlineStr">
        <is>
          <t>【旧号坏账】 装备采购</t>
        </is>
      </c>
    </row>
    <row r="63">
      <c r="A63" t="inlineStr">
        <is>
          <t>装备采购</t>
        </is>
      </c>
      <c r="B63" t="inlineStr">
        <is>
          <t>风伯套装48</t>
        </is>
      </c>
      <c r="C63" s="33" t="n">
        <v>48</v>
      </c>
      <c r="D63" t="inlineStr">
        <is>
          <t>【旧号坏账】 装备采购</t>
        </is>
      </c>
    </row>
    <row r="64">
      <c r="A64" t="inlineStr">
        <is>
          <t>装备采购</t>
        </is>
      </c>
      <c r="B64" t="inlineStr">
        <is>
          <t>吸血鬼鞋子（套牢）</t>
        </is>
      </c>
      <c r="C64" s="33" t="n">
        <v>14</v>
      </c>
      <c r="D64" t="inlineStr">
        <is>
          <t>【旧号坏账】 装备采购</t>
        </is>
      </c>
    </row>
    <row r="65">
      <c r="A65" t="inlineStr">
        <is>
          <t>装备采购</t>
        </is>
      </c>
      <c r="B65" t="inlineStr">
        <is>
          <t>国标武器</t>
        </is>
      </c>
      <c r="C65" s="33" t="n">
        <v>10</v>
      </c>
      <c r="D65" t="inlineStr">
        <is>
          <t>【旧号坏账】 装备采购</t>
        </is>
      </c>
    </row>
    <row r="66">
      <c r="B66" s="34" t="inlineStr">
        <is>
          <t>装备采购 小计</t>
        </is>
      </c>
      <c r="C66" s="35">
        <f>SUM(C59:C65)</f>
        <v/>
      </c>
    </row>
    <row r="68">
      <c r="B68" s="45" t="inlineStr">
        <is>
          <t>历史支出合计</t>
        </is>
      </c>
      <c r="C68" s="48">
        <f>C18+C41+C56+C66</f>
        <v/>
      </c>
    </row>
    <row r="70">
      <c r="A70" s="49" t="inlineStr">
        <is>
          <t>二、历史变现收入明细（已回笼）</t>
        </is>
      </c>
    </row>
    <row r="71">
      <c r="A71" s="30" t="inlineStr">
        <is>
          <t>收入分类</t>
        </is>
      </c>
      <c r="B71" s="30" t="inlineStr">
        <is>
          <t>变现项目</t>
        </is>
      </c>
      <c r="C71" s="30" t="inlineStr">
        <is>
          <t>金额 (元)</t>
        </is>
      </c>
      <c r="D71" s="30" t="inlineStr">
        <is>
          <t>备注</t>
        </is>
      </c>
    </row>
    <row r="72">
      <c r="A72" s="31" t="inlineStr">
        <is>
          <t>▌宠物变现</t>
        </is>
      </c>
      <c r="B72" s="32" t="n"/>
      <c r="C72" s="32" t="n"/>
      <c r="D72" s="32" t="n"/>
    </row>
    <row r="73">
      <c r="A73" t="inlineStr">
        <is>
          <t>宠物变现</t>
        </is>
      </c>
      <c r="B73" t="inlineStr">
        <is>
          <t>出售法宠回款</t>
        </is>
      </c>
      <c r="C73" s="33" t="n">
        <v>85.5</v>
      </c>
      <c r="D73" t="inlineStr">
        <is>
          <t>【旧号变现·归档】 采购法宠卖出收入</t>
        </is>
      </c>
    </row>
    <row r="74">
      <c r="A74" t="inlineStr">
        <is>
          <t>宠物变现</t>
        </is>
      </c>
      <c r="B74" t="inlineStr">
        <is>
          <t>龙鲤</t>
        </is>
      </c>
      <c r="C74" s="33" t="n">
        <v>161.5</v>
      </c>
      <c r="D74" t="inlineStr">
        <is>
          <t>【旧号变现·归档】 卖出</t>
        </is>
      </c>
    </row>
    <row r="75">
      <c r="A75" t="inlineStr">
        <is>
          <t>宠物变现</t>
        </is>
      </c>
      <c r="B75" t="inlineStr">
        <is>
          <t>吸血鬼</t>
        </is>
      </c>
      <c r="C75" s="33" t="n">
        <v>123.5</v>
      </c>
      <c r="D75" t="inlineStr">
        <is>
          <t>【旧号变现·归档】 卖出</t>
        </is>
      </c>
    </row>
    <row r="76">
      <c r="A76" t="inlineStr">
        <is>
          <t>宠物变现</t>
        </is>
      </c>
      <c r="B76" t="inlineStr">
        <is>
          <t>3JN胚子</t>
        </is>
      </c>
      <c r="C76" s="33" t="n">
        <v>9.5</v>
      </c>
      <c r="D76" t="inlineStr">
        <is>
          <t>【旧号变现·归档】 卖出</t>
        </is>
      </c>
    </row>
    <row r="77">
      <c r="A77" t="inlineStr">
        <is>
          <t>宠物变现</t>
        </is>
      </c>
      <c r="B77" t="inlineStr">
        <is>
          <t>画魂  8月29</t>
        </is>
      </c>
      <c r="C77" s="33" t="n">
        <v>115</v>
      </c>
      <c r="D77" t="inlineStr">
        <is>
          <t>【旧号变现·归档】 卖出</t>
        </is>
      </c>
    </row>
    <row r="78">
      <c r="A78" t="inlineStr">
        <is>
          <t>宠物变现</t>
        </is>
      </c>
      <c r="B78" t="inlineStr">
        <is>
          <t>3JN胚子  8月10</t>
        </is>
      </c>
      <c r="C78" s="33" t="n">
        <v>9.5</v>
      </c>
      <c r="D78" t="inlineStr">
        <is>
          <t>【旧号变现·归档】 卖出</t>
        </is>
      </c>
    </row>
    <row r="79">
      <c r="A79" t="inlineStr">
        <is>
          <t>宠物变现</t>
        </is>
      </c>
      <c r="B79" t="inlineStr">
        <is>
          <t>龙鲤 胚子*2</t>
        </is>
      </c>
      <c r="C79" s="33" t="n">
        <v>133</v>
      </c>
      <c r="D79" t="inlineStr">
        <is>
          <t>【旧号变现·归档】 卖出</t>
        </is>
      </c>
    </row>
    <row r="80">
      <c r="A80" t="inlineStr">
        <is>
          <t>宠物变现</t>
        </is>
      </c>
      <c r="B80" t="inlineStr">
        <is>
          <t>蝴蝶仙子*2</t>
        </is>
      </c>
      <c r="C80" s="33" t="n">
        <v>66.5</v>
      </c>
      <c r="D80" t="inlineStr">
        <is>
          <t>【旧号变现·归档】 卖出</t>
        </is>
      </c>
    </row>
    <row r="81">
      <c r="A81" t="inlineStr">
        <is>
          <t>宠物变现</t>
        </is>
      </c>
      <c r="B81" t="inlineStr">
        <is>
          <t>地摊律法女娲  9月12</t>
        </is>
      </c>
      <c r="C81" s="33" t="n">
        <v>14.5</v>
      </c>
      <c r="D81" t="inlineStr">
        <is>
          <t>【旧号变现·归档】 卖出</t>
        </is>
      </c>
    </row>
    <row r="82">
      <c r="A82" t="inlineStr">
        <is>
          <t>宠物变现</t>
        </is>
      </c>
      <c r="B82" t="inlineStr">
        <is>
          <t>地摊灵符女娲法  9月15</t>
        </is>
      </c>
      <c r="C82" s="33" t="n">
        <v>14.5</v>
      </c>
      <c r="D82" t="inlineStr">
        <is>
          <t>【旧号变现·归档】 卖出</t>
        </is>
      </c>
    </row>
    <row r="83">
      <c r="A83" t="inlineStr">
        <is>
          <t>宠物变现</t>
        </is>
      </c>
      <c r="B83" t="inlineStr">
        <is>
          <t>物品 80环装</t>
        </is>
      </c>
      <c r="C83" s="33" t="n">
        <v>9.5</v>
      </c>
      <c r="D83" t="inlineStr">
        <is>
          <t>【旧号变现·归档】 卖出</t>
        </is>
      </c>
    </row>
    <row r="84">
      <c r="A84" t="inlineStr">
        <is>
          <t>宠物变现</t>
        </is>
      </c>
      <c r="B84" t="inlineStr">
        <is>
          <t>卖古代瑞兽胚子 9月23</t>
        </is>
      </c>
      <c r="C84" s="33" t="n">
        <v>9.5</v>
      </c>
      <c r="D84" t="inlineStr">
        <is>
          <t>【旧号变现·归档】 卖出</t>
        </is>
      </c>
    </row>
    <row r="85">
      <c r="A85" t="inlineStr">
        <is>
          <t>宠物变现</t>
        </is>
      </c>
      <c r="B85" t="inlineStr">
        <is>
          <t>配饰9月24</t>
        </is>
      </c>
      <c r="C85" s="33" t="n">
        <v>14</v>
      </c>
      <c r="D85" t="inlineStr">
        <is>
          <t>【旧号变现·归档】 卖出</t>
        </is>
      </c>
    </row>
    <row r="86">
      <c r="A86" t="inlineStr">
        <is>
          <t>宠物变现</t>
        </is>
      </c>
      <c r="B86" t="inlineStr">
        <is>
          <t>卖古代瑞兽胚子 9月25</t>
        </is>
      </c>
      <c r="C86" s="33" t="n">
        <v>9.5</v>
      </c>
      <c r="D86" t="inlineStr">
        <is>
          <t>【旧号变现·归档】 卖出</t>
        </is>
      </c>
    </row>
    <row r="87">
      <c r="B87" s="34" t="inlineStr">
        <is>
          <t>宠物变现 小计</t>
        </is>
      </c>
      <c r="C87" s="35">
        <f>SUM(C73:C86)</f>
        <v/>
      </c>
    </row>
    <row r="89">
      <c r="A89" s="31" t="inlineStr">
        <is>
          <t>▌物资变现</t>
        </is>
      </c>
      <c r="B89" s="32" t="n"/>
      <c r="C89" s="32" t="n"/>
      <c r="D89" s="32" t="n"/>
    </row>
    <row r="90">
      <c r="A90" t="inlineStr">
        <is>
          <t>物资变现</t>
        </is>
      </c>
      <c r="B90" t="inlineStr">
        <is>
          <t>第一坨菜售卖</t>
        </is>
      </c>
      <c r="C90" s="33" t="n">
        <v>202</v>
      </c>
      <c r="D90" t="inlineStr">
        <is>
          <t>【旧号变现·归档】 游戏产出物资</t>
        </is>
      </c>
    </row>
    <row r="91">
      <c r="A91" t="inlineStr">
        <is>
          <t>物资变现</t>
        </is>
      </c>
      <c r="B91" t="inlineStr">
        <is>
          <t>小菜 1</t>
        </is>
      </c>
      <c r="C91" s="33" t="n">
        <v>67.45</v>
      </c>
      <c r="D91" t="inlineStr">
        <is>
          <t>【旧号变现·归档】 新增变现</t>
        </is>
      </c>
    </row>
    <row r="92">
      <c r="A92" t="inlineStr">
        <is>
          <t>物资变现</t>
        </is>
      </c>
      <c r="B92" t="inlineStr">
        <is>
          <t>小菜 2</t>
        </is>
      </c>
      <c r="C92" s="33" t="n">
        <v>67.45</v>
      </c>
      <c r="D92" t="inlineStr">
        <is>
          <t>【旧号变现·归档】 新增变现</t>
        </is>
      </c>
    </row>
    <row r="93">
      <c r="A93" t="inlineStr">
        <is>
          <t>物资变现</t>
        </is>
      </c>
      <c r="B93" t="inlineStr">
        <is>
          <t>小菜 3</t>
        </is>
      </c>
      <c r="C93" s="33" t="n">
        <v>66.78</v>
      </c>
      <c r="D93" t="inlineStr">
        <is>
          <t>【旧号变现·归档】 新增变现</t>
        </is>
      </c>
    </row>
    <row r="94">
      <c r="A94" t="inlineStr">
        <is>
          <t>物资变现</t>
        </is>
      </c>
      <c r="B94" t="inlineStr">
        <is>
          <t>小菜4</t>
        </is>
      </c>
      <c r="C94" s="33" t="n">
        <v>66.78</v>
      </c>
      <c r="D94" t="inlineStr">
        <is>
          <t>【旧号变现·归档】 新增变现</t>
        </is>
      </c>
    </row>
    <row r="95">
      <c r="A95" t="inlineStr">
        <is>
          <t>物资变现</t>
        </is>
      </c>
      <c r="B95" t="inlineStr">
        <is>
          <t>小菜5</t>
        </is>
      </c>
      <c r="C95" s="33" t="n">
        <v>66.02</v>
      </c>
      <c r="D95" t="inlineStr">
        <is>
          <t>【旧号变现·归档】 新增变现</t>
        </is>
      </c>
    </row>
    <row r="96">
      <c r="A96" t="inlineStr">
        <is>
          <t>物资变现</t>
        </is>
      </c>
      <c r="B96" t="inlineStr">
        <is>
          <t>小菜6</t>
        </is>
      </c>
      <c r="C96" s="33" t="n">
        <v>65.55</v>
      </c>
      <c r="D96" t="inlineStr">
        <is>
          <t>【旧号变现·归档】 新增变现</t>
        </is>
      </c>
    </row>
    <row r="97">
      <c r="A97" t="inlineStr">
        <is>
          <t>物资变现</t>
        </is>
      </c>
      <c r="B97" t="inlineStr">
        <is>
          <t>小菜7</t>
        </is>
      </c>
      <c r="C97" s="33" t="n">
        <v>66.02</v>
      </c>
      <c r="D97" t="inlineStr">
        <is>
          <t>【旧号变现·归档】 新增变现</t>
        </is>
      </c>
    </row>
    <row r="98">
      <c r="A98" t="inlineStr">
        <is>
          <t>物资变现</t>
        </is>
      </c>
      <c r="B98" t="inlineStr">
        <is>
          <t>小菜8   8月29</t>
        </is>
      </c>
      <c r="C98" s="33" t="n">
        <v>69.2</v>
      </c>
      <c r="D98" t="inlineStr">
        <is>
          <t>【旧号变现·归档】 新增变现</t>
        </is>
      </c>
    </row>
    <row r="99">
      <c r="A99" t="inlineStr">
        <is>
          <t>物资变现</t>
        </is>
      </c>
      <c r="B99" t="inlineStr">
        <is>
          <t>小菜    8月11</t>
        </is>
      </c>
      <c r="C99" s="33" t="n">
        <v>68</v>
      </c>
      <c r="D99" t="inlineStr">
        <is>
          <t>【旧号变现·归档】 新增变现</t>
        </is>
      </c>
    </row>
    <row r="100">
      <c r="A100" t="inlineStr">
        <is>
          <t>物资变现</t>
        </is>
      </c>
      <c r="B100" t="inlineStr">
        <is>
          <t>8月20</t>
        </is>
      </c>
      <c r="C100" s="33" t="n">
        <v>41</v>
      </c>
      <c r="D100" t="inlineStr">
        <is>
          <t>【旧号变现·归档】 新增变现</t>
        </is>
      </c>
    </row>
    <row r="101">
      <c r="A101" t="inlineStr">
        <is>
          <t>物资变现</t>
        </is>
      </c>
      <c r="B101" t="inlineStr">
        <is>
          <t>8月23</t>
        </is>
      </c>
      <c r="C101" s="33" t="n">
        <v>67.7</v>
      </c>
      <c r="D101" t="inlineStr">
        <is>
          <t>【旧号变现·归档】 新增变现</t>
        </is>
      </c>
    </row>
    <row r="102">
      <c r="A102" t="inlineStr">
        <is>
          <t>物资变现</t>
        </is>
      </c>
      <c r="B102" t="inlineStr">
        <is>
          <t>8月13</t>
        </is>
      </c>
      <c r="C102" s="33" t="n">
        <v>68</v>
      </c>
      <c r="D102" t="inlineStr">
        <is>
          <t>【旧号变现·归档】 新增变现</t>
        </is>
      </c>
    </row>
    <row r="103">
      <c r="A103" t="inlineStr">
        <is>
          <t>物资变现</t>
        </is>
      </c>
      <c r="B103" t="inlineStr">
        <is>
          <t>小菜9 8月27</t>
        </is>
      </c>
      <c r="C103" s="33" t="n">
        <v>41.82</v>
      </c>
      <c r="D103" t="inlineStr">
        <is>
          <t>【旧号变现·归档】 新增变现</t>
        </is>
      </c>
    </row>
    <row r="104">
      <c r="A104" t="inlineStr">
        <is>
          <t>物资变现</t>
        </is>
      </c>
      <c r="B104" t="inlineStr">
        <is>
          <t>出菜1坨 9月11</t>
        </is>
      </c>
      <c r="C104" s="33" t="n">
        <v>197</v>
      </c>
      <c r="D104" t="inlineStr">
        <is>
          <t>【旧号变现·归档】 新增变现</t>
        </is>
      </c>
    </row>
    <row r="105">
      <c r="A105" t="inlineStr">
        <is>
          <t>物资变现</t>
        </is>
      </c>
      <c r="B105" t="inlineStr">
        <is>
          <t>出菜400W 9月17</t>
        </is>
      </c>
      <c r="C105" s="33" t="n">
        <v>25.84</v>
      </c>
      <c r="D105" t="inlineStr">
        <is>
          <t>【旧号变现·归档】 新增变现</t>
        </is>
      </c>
    </row>
    <row r="106">
      <c r="A106" t="inlineStr">
        <is>
          <t>物资变现</t>
        </is>
      </c>
      <c r="B106" t="inlineStr">
        <is>
          <t>出菜3000W 9月17</t>
        </is>
      </c>
      <c r="C106" s="33" t="n">
        <v>191.9</v>
      </c>
      <c r="D106" t="inlineStr">
        <is>
          <t>【旧号变现·归档】 新增变现</t>
        </is>
      </c>
    </row>
    <row r="107">
      <c r="A107" t="inlineStr">
        <is>
          <t>物资变现</t>
        </is>
      </c>
      <c r="B107" t="inlineStr">
        <is>
          <t>出菜半坨 9月11</t>
        </is>
      </c>
      <c r="C107" s="33" t="n">
        <v>111</v>
      </c>
      <c r="D107" t="inlineStr">
        <is>
          <t>【旧号变现·归档】 新增变现</t>
        </is>
      </c>
    </row>
    <row r="108">
      <c r="A108" t="inlineStr">
        <is>
          <t>物资变现</t>
        </is>
      </c>
      <c r="B108" t="inlineStr">
        <is>
          <t>出一坨小菜 9月21</t>
        </is>
      </c>
      <c r="C108" s="33" t="n">
        <v>65</v>
      </c>
      <c r="D108" t="inlineStr">
        <is>
          <t>【旧号变现·归档】 新增变现</t>
        </is>
      </c>
    </row>
    <row r="109">
      <c r="A109" t="inlineStr">
        <is>
          <t>物资变现</t>
        </is>
      </c>
      <c r="B109" t="inlineStr">
        <is>
          <t>小菜 0924</t>
        </is>
      </c>
      <c r="C109" s="33" t="n">
        <v>65</v>
      </c>
      <c r="D109" t="inlineStr">
        <is>
          <t>【旧号变现·归档】 新增变现</t>
        </is>
      </c>
    </row>
    <row r="110">
      <c r="B110" s="34" t="inlineStr">
        <is>
          <t>物资变现 小计</t>
        </is>
      </c>
      <c r="C110" s="35">
        <f>SUM(C90:C109)</f>
        <v/>
      </c>
    </row>
    <row r="112">
      <c r="B112" s="45" t="inlineStr">
        <is>
          <t>历史变现合计</t>
        </is>
      </c>
      <c r="C112" s="48">
        <f>C87+C110</f>
        <v/>
      </c>
    </row>
    <row r="114">
      <c r="A114" t="inlineStr">
        <is>
          <t>📌 说明：本表仅作归档备查；页面汇总只读「支出明细表」「游戏变现收入明细表」。旧资产后续卖出请记入当前变现表，备注标【旧号】以便区分。</t>
        </is>
      </c>
    </row>
  </sheetData>
  <mergeCells count="3">
    <mergeCell ref="A114:D114"/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2026-07-24T07:19:00Z</dcterms:created>
  <dcterms:modified xmlns:dcterms="http://purl.org/dc/terms/" xmlns:xsi="http://www.w3.org/2001/XMLSchema-instance" xsi:type="dcterms:W3CDTF">2026-09-25T16:26:33Z</dcterms:modified>
  <cp:lastModifiedBy>十六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5AD09BDA83BE459CA7C2717B385EB23C_12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