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1" activeTab="2" autoFilterDateGrouping="1"/>
  </bookViews>
  <sheets>
    <sheet xmlns:r="http://schemas.openxmlformats.org/officeDocument/2006/relationships" name="支出明细表" sheetId="1" state="visible" r:id="rId1"/>
    <sheet xmlns:r="http://schemas.openxmlformats.org/officeDocument/2006/relationships" name="游戏变现收入明细表" sheetId="2" state="visible" r:id="rId2"/>
    <sheet xmlns:r="http://schemas.openxmlformats.org/officeDocument/2006/relationships" name="成本核算汇总表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宋体"/>
      <charset val="134"/>
      <color theme="1"/>
      <sz val="11"/>
      <scheme val="minor"/>
    </font>
    <font>
      <name val="微软雅黑"/>
      <charset val="134"/>
      <b val="1"/>
      <color rgb="FF1F4E79"/>
      <sz val="14"/>
    </font>
    <font>
      <name val="微软雅黑"/>
      <charset val="134"/>
      <b val="1"/>
      <color rgb="FFFFFFFF"/>
      <sz val="11"/>
    </font>
    <font>
      <name val="微软雅黑"/>
      <charset val="134"/>
      <sz val="11"/>
    </font>
    <font>
      <name val="微软雅黑"/>
      <charset val="134"/>
      <b val="1"/>
      <color rgb="FFC00000"/>
      <sz val="12"/>
    </font>
    <font>
      <name val="微软雅黑"/>
      <charset val="134"/>
      <b val="1"/>
      <color rgb="FF1F4E79"/>
      <sz val="12"/>
    </font>
    <font>
      <name val="微软雅黑"/>
      <charset val="134"/>
      <color rgb="FF666666"/>
      <sz val="11"/>
    </font>
    <font>
      <name val="微软雅黑"/>
      <charset val="134"/>
      <b val="1"/>
      <color rgb="FF1F4E79"/>
      <sz val="11"/>
    </font>
    <font>
      <name val="微软雅黑"/>
      <charset val="134"/>
      <color rgb="FF999999"/>
      <sz val="11"/>
    </font>
    <font>
      <name val="微软雅黑"/>
      <charset val="134"/>
      <b val="1"/>
      <color rgb="FFC00000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0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rgb="FFFFFFFF"/>
      </patternFill>
    </fill>
    <fill>
      <patternFill patternType="solid">
        <fgColor rgb="FFFFCDD2"/>
        <bgColor rgb="FFFFCDD2"/>
      </patternFill>
    </fill>
    <fill>
      <patternFill patternType="solid">
        <fgColor rgb="FFD6E4F0"/>
        <bgColor rgb="FFD6E4F0"/>
      </patternFill>
    </fill>
    <fill>
      <patternFill patternType="solid">
        <fgColor rgb="FFFFF9C4"/>
        <bgColor rgb="FFFFF9C4"/>
      </patternFill>
    </fill>
    <fill>
      <patternFill patternType="solid">
        <fgColor rgb="FFFCE4EC"/>
        <bgColor rgb="FFFCE4E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9" borderId="4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5" applyAlignment="1">
      <alignment vertical="center"/>
    </xf>
    <xf numFmtId="0" fontId="16" fillId="0" borderId="5" applyAlignment="1">
      <alignment vertical="center"/>
    </xf>
    <xf numFmtId="0" fontId="17" fillId="0" borderId="6" applyAlignment="1">
      <alignment vertical="center"/>
    </xf>
    <xf numFmtId="0" fontId="17" fillId="0" borderId="0" applyAlignment="1">
      <alignment vertical="center"/>
    </xf>
    <xf numFmtId="0" fontId="18" fillId="10" borderId="7" applyAlignment="1">
      <alignment vertical="center"/>
    </xf>
    <xf numFmtId="0" fontId="19" fillId="11" borderId="8" applyAlignment="1">
      <alignment vertical="center"/>
    </xf>
    <xf numFmtId="0" fontId="20" fillId="11" borderId="7" applyAlignment="1">
      <alignment vertical="center"/>
    </xf>
    <xf numFmtId="0" fontId="21" fillId="12" borderId="9" applyAlignment="1">
      <alignment vertical="center"/>
    </xf>
    <xf numFmtId="0" fontId="22" fillId="0" borderId="10" applyAlignment="1">
      <alignment vertical="center"/>
    </xf>
    <xf numFmtId="0" fontId="23" fillId="0" borderId="11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6" fillId="15" borderId="0" applyAlignment="1">
      <alignment vertical="center"/>
    </xf>
    <xf numFmtId="0" fontId="27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  <xf numFmtId="0" fontId="27" fillId="36" borderId="0" applyAlignment="1">
      <alignment vertical="center"/>
    </xf>
    <xf numFmtId="0" fontId="28" fillId="37" borderId="0" applyAlignment="1">
      <alignment vertical="center"/>
    </xf>
    <xf numFmtId="0" fontId="28" fillId="38" borderId="0" applyAlignment="1">
      <alignment vertical="center"/>
    </xf>
    <xf numFmtId="0" fontId="27" fillId="39" borderId="0" applyAlignment="1">
      <alignment vertical="center"/>
    </xf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/>
    </xf>
    <xf numFmtId="0" fontId="3" fillId="3" borderId="1" pivotButton="0" quotePrefix="0" xfId="0"/>
    <xf numFmtId="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pivotButton="0" quotePrefix="0" xfId="0"/>
    <xf numFmtId="4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4" fillId="5" borderId="1" pivotButton="0" quotePrefix="0" xfId="0"/>
    <xf numFmtId="4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7" borderId="1" pivotButton="0" quotePrefix="0" xfId="0"/>
    <xf numFmtId="4" fontId="8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4" fontId="9" fillId="8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1"/>
  <sheetViews>
    <sheetView topLeftCell="A13" workbookViewId="0">
      <selection activeCell="F11" sqref="F11"/>
    </sheetView>
  </sheetViews>
  <sheetFormatPr baseColWidth="8" defaultColWidth="9" defaultRowHeight="13.5"/>
  <cols>
    <col width="20" customWidth="1" min="1" max="1"/>
    <col width="30" customWidth="1" min="2" max="2"/>
    <col width="16" customWidth="1" min="3" max="3"/>
    <col width="30" customWidth="1" min="4" max="4"/>
  </cols>
  <sheetData>
    <row r="1" ht="38" customHeight="1">
      <c r="A1" s="1" t="inlineStr">
        <is>
          <t>梦幻西游 · 支出明细表（黄色行为新增录入区）</t>
        </is>
      </c>
    </row>
    <row r="2" ht="28" customHeight="1">
      <c r="A2" s="2" t="inlineStr">
        <is>
          <t>分类</t>
        </is>
      </c>
      <c r="B2" s="2" t="inlineStr">
        <is>
          <t>明细项目</t>
        </is>
      </c>
      <c r="C2" s="3" t="inlineStr">
        <is>
          <t>金额 (元)</t>
        </is>
      </c>
      <c r="D2" s="2" t="inlineStr">
        <is>
          <t>备注</t>
        </is>
      </c>
    </row>
    <row r="3" ht="26" customHeight="1">
      <c r="A3" s="16" t="inlineStr">
        <is>
          <t>▌角色账号购置</t>
        </is>
      </c>
      <c r="B3" s="17" t="n"/>
      <c r="C3" s="17" t="n"/>
      <c r="D3" s="18" t="n"/>
    </row>
    <row r="4" ht="16.5" customHeight="1">
      <c r="A4" s="9" t="inlineStr">
        <is>
          <t>角色账号购置</t>
        </is>
      </c>
      <c r="B4" s="9" t="inlineStr">
        <is>
          <t>巨魔王一号</t>
        </is>
      </c>
      <c r="C4" s="8" t="n">
        <v>391.9</v>
      </c>
      <c r="D4" s="9" t="inlineStr">
        <is>
          <t>男角色</t>
        </is>
      </c>
    </row>
    <row r="5" ht="16.5" customHeight="1">
      <c r="A5" s="9" t="inlineStr">
        <is>
          <t>角色账号购置</t>
        </is>
      </c>
      <c r="B5" s="9" t="inlineStr">
        <is>
          <t>骨精灵</t>
        </is>
      </c>
      <c r="C5" s="8" t="n">
        <v>400</v>
      </c>
      <c r="D5" s="9" t="inlineStr">
        <is>
          <t>女角色</t>
        </is>
      </c>
    </row>
    <row r="6" ht="16.5" customHeight="1">
      <c r="A6" s="9" t="inlineStr">
        <is>
          <t>角色账号购置</t>
        </is>
      </c>
      <c r="B6" s="9" t="inlineStr">
        <is>
          <t>杀破狼</t>
        </is>
      </c>
      <c r="C6" s="8" t="n">
        <v>519</v>
      </c>
      <c r="D6" s="9" t="inlineStr">
        <is>
          <t>男角色</t>
        </is>
      </c>
    </row>
    <row r="7" ht="16.5" customHeight="1">
      <c r="A7" s="9" t="inlineStr">
        <is>
          <t>角色账号购置</t>
        </is>
      </c>
      <c r="B7" s="9" t="inlineStr">
        <is>
          <t>巨魔王二号</t>
        </is>
      </c>
      <c r="C7" s="8" t="n">
        <v>500</v>
      </c>
      <c r="D7" s="9" t="inlineStr">
        <is>
          <t>男角色</t>
        </is>
      </c>
    </row>
    <row r="8" ht="16.5" customHeight="1">
      <c r="A8" s="9" t="inlineStr">
        <is>
          <t>角色账号购置</t>
        </is>
      </c>
      <c r="B8" s="9" t="inlineStr">
        <is>
          <t>主号男角色</t>
        </is>
      </c>
      <c r="C8" s="8" t="n">
        <v>866</v>
      </c>
      <c r="D8" s="9" t="inlineStr">
        <is>
          <t>主力账号</t>
        </is>
      </c>
    </row>
    <row r="9" ht="16.5" customHeight="1">
      <c r="A9" s="19" t="inlineStr">
        <is>
          <t>角色账号购置</t>
        </is>
      </c>
      <c r="B9" s="19" t="inlineStr">
        <is>
          <t>巫蛮儿</t>
        </is>
      </c>
      <c r="C9" s="20" t="n">
        <v>460</v>
      </c>
      <c r="D9" s="19" t="inlineStr">
        <is>
          <t>女儿村</t>
        </is>
      </c>
    </row>
    <row r="10" ht="16.5" customHeight="1">
      <c r="A10" s="19" t="inlineStr">
        <is>
          <t>角色账号购置</t>
        </is>
      </c>
      <c r="B10" s="19" t="n"/>
      <c r="C10" s="20" t="n"/>
      <c r="D10" s="19" t="n"/>
    </row>
    <row r="11" ht="16.5" customHeight="1">
      <c r="A11" s="19" t="inlineStr">
        <is>
          <t>角色账号购置</t>
        </is>
      </c>
      <c r="B11" s="19" t="n"/>
      <c r="C11" s="20" t="n"/>
      <c r="D11" s="19" t="n"/>
    </row>
    <row r="12" ht="16.5" customHeight="1">
      <c r="A12" s="19" t="inlineStr">
        <is>
          <t>角色账号购置</t>
        </is>
      </c>
      <c r="B12" s="19" t="n"/>
      <c r="C12" s="20" t="n"/>
      <c r="D12" s="19" t="n"/>
    </row>
    <row r="13" ht="16.5" customHeight="1">
      <c r="A13" s="19" t="inlineStr">
        <is>
          <t>角色账号购置</t>
        </is>
      </c>
      <c r="B13" s="19" t="n"/>
      <c r="C13" s="20" t="n"/>
      <c r="D13" s="19" t="n"/>
    </row>
    <row r="14" ht="15" customHeight="1">
      <c r="A14" s="21" t="inlineStr"/>
      <c r="B14" s="21" t="inlineStr">
        <is>
          <t>账号小计</t>
        </is>
      </c>
      <c r="C14" s="22">
        <f>SUM(C4:C13)</f>
        <v/>
      </c>
      <c r="D14" s="21" t="inlineStr">
        <is>
          <t>5 个账号 + 新增合计</t>
        </is>
      </c>
    </row>
    <row r="15" ht="26" customHeight="1">
      <c r="A15" s="16" t="inlineStr">
        <is>
          <t>▌点卡相关</t>
        </is>
      </c>
      <c r="B15" s="17" t="n"/>
      <c r="C15" s="17" t="n"/>
      <c r="D15" s="18" t="n"/>
    </row>
    <row r="16" ht="16.5" customHeight="1">
      <c r="A16" s="9" t="inlineStr">
        <is>
          <t>点卡相关</t>
        </is>
      </c>
      <c r="B16" s="9" t="inlineStr">
        <is>
          <t>30 元点卡</t>
        </is>
      </c>
      <c r="C16" s="8" t="n">
        <v>30</v>
      </c>
      <c r="D16" s="9" t="inlineStr">
        <is>
          <t>原拆分点卡</t>
        </is>
      </c>
    </row>
    <row r="17" ht="16.5" customHeight="1">
      <c r="A17" s="9" t="inlineStr">
        <is>
          <t>点卡相关</t>
        </is>
      </c>
      <c r="B17" s="9" t="inlineStr">
        <is>
          <t>20 元点卡</t>
        </is>
      </c>
      <c r="C17" s="8" t="n">
        <v>20</v>
      </c>
      <c r="D17" s="9" t="inlineStr">
        <is>
          <t>原拆分点卡</t>
        </is>
      </c>
    </row>
    <row r="18" ht="16.5" customHeight="1">
      <c r="A18" s="9" t="inlineStr">
        <is>
          <t>点卡相关</t>
        </is>
      </c>
      <c r="B18" s="9" t="inlineStr">
        <is>
          <t>5 元点卡</t>
        </is>
      </c>
      <c r="C18" s="8" t="n">
        <v>5</v>
      </c>
      <c r="D18" s="9" t="inlineStr">
        <is>
          <t>原拆分点卡</t>
        </is>
      </c>
    </row>
    <row r="19" ht="16.5" customHeight="1">
      <c r="A19" s="9" t="inlineStr">
        <is>
          <t>点卡相关</t>
        </is>
      </c>
      <c r="B19" s="9" t="inlineStr">
        <is>
          <t>5 元点卡</t>
        </is>
      </c>
      <c r="C19" s="8" t="n">
        <v>5</v>
      </c>
      <c r="D19" s="9" t="inlineStr">
        <is>
          <t>原拆分点卡</t>
        </is>
      </c>
    </row>
    <row r="20" ht="16.5" customHeight="1">
      <c r="A20" s="9" t="inlineStr">
        <is>
          <t>点卡相关</t>
        </is>
      </c>
      <c r="B20" s="9" t="inlineStr">
        <is>
          <t>5 元点卡</t>
        </is>
      </c>
      <c r="C20" s="8" t="n">
        <v>5</v>
      </c>
      <c r="D20" s="9" t="inlineStr">
        <is>
          <t>原拆分点卡</t>
        </is>
      </c>
    </row>
    <row r="21" ht="16.5" customHeight="1">
      <c r="A21" s="9" t="inlineStr">
        <is>
          <t>点卡相关</t>
        </is>
      </c>
      <c r="B21" s="9" t="inlineStr">
        <is>
          <t>10 元补充点卡</t>
        </is>
      </c>
      <c r="C21" s="8" t="n">
        <v>10</v>
      </c>
      <c r="D21" s="9" t="inlineStr">
        <is>
          <t>漏算补充</t>
        </is>
      </c>
    </row>
    <row r="22" ht="16.5" customHeight="1">
      <c r="A22" s="9" t="inlineStr">
        <is>
          <t>点卡相关</t>
        </is>
      </c>
      <c r="B22" s="9" t="inlineStr">
        <is>
          <t>25 元追加点卡</t>
        </is>
      </c>
      <c r="C22" s="8" t="n">
        <v>25</v>
      </c>
      <c r="D22" s="9" t="inlineStr">
        <is>
          <t>后期新增</t>
        </is>
      </c>
    </row>
    <row r="23" ht="16.5" customHeight="1">
      <c r="A23" s="9" t="inlineStr">
        <is>
          <t>点卡相关</t>
        </is>
      </c>
      <c r="B23" s="9" t="inlineStr">
        <is>
          <t>300 元月卡</t>
        </is>
      </c>
      <c r="C23" s="8" t="n">
        <v>300</v>
      </c>
      <c r="D23" s="9" t="inlineStr">
        <is>
          <t>第一轮月卡</t>
        </is>
      </c>
    </row>
    <row r="24" ht="16.5" customHeight="1">
      <c r="A24" s="19" t="inlineStr">
        <is>
          <t>点卡相关</t>
        </is>
      </c>
      <c r="B24" s="19" t="inlineStr">
        <is>
          <t>小号点卡第一轮</t>
        </is>
      </c>
      <c r="C24" s="8" t="n">
        <v>125</v>
      </c>
      <c r="D24" s="9" t="inlineStr">
        <is>
          <t>小号点卡 30*5支付优惠</t>
        </is>
      </c>
    </row>
    <row r="25" ht="16.5" customHeight="1">
      <c r="A25" s="19" t="inlineStr">
        <is>
          <t>点卡相关</t>
        </is>
      </c>
      <c r="B25" s="19" t="inlineStr">
        <is>
          <t>8月21点卡</t>
        </is>
      </c>
      <c r="C25" s="20" t="n">
        <v>15</v>
      </c>
      <c r="D25" s="19" t="n"/>
    </row>
    <row r="26" ht="16.5" customHeight="1">
      <c r="A26" s="19" t="inlineStr">
        <is>
          <t>点卡相关</t>
        </is>
      </c>
      <c r="B26" s="19" t="inlineStr">
        <is>
          <t>8月24点卡</t>
        </is>
      </c>
      <c r="C26" s="20" t="n">
        <v>1.05</v>
      </c>
      <c r="D26" s="19" t="n"/>
    </row>
    <row r="27" ht="16.5" customHeight="1">
      <c r="A27" s="19" t="inlineStr">
        <is>
          <t>点卡相关</t>
        </is>
      </c>
      <c r="B27" s="19" t="inlineStr">
        <is>
          <t>8月27点卡</t>
        </is>
      </c>
      <c r="C27" s="20" t="n">
        <v>25</v>
      </c>
      <c r="D27" s="19" t="inlineStr">
        <is>
          <t>小号</t>
        </is>
      </c>
    </row>
    <row r="28" ht="16.5" customHeight="1">
      <c r="A28" s="19" t="inlineStr">
        <is>
          <t>点卡相关</t>
        </is>
      </c>
      <c r="B28" s="19" t="inlineStr">
        <is>
          <t>8月26点卡</t>
        </is>
      </c>
      <c r="C28" s="20" t="n">
        <v>20</v>
      </c>
      <c r="D28" s="19" t="n"/>
    </row>
    <row r="29" ht="16.5" customHeight="1">
      <c r="A29" s="19" t="inlineStr">
        <is>
          <t>点卡相关</t>
        </is>
      </c>
      <c r="B29" s="19" t="inlineStr">
        <is>
          <t>8月30点卡</t>
        </is>
      </c>
      <c r="C29" s="20" t="n">
        <v>30</v>
      </c>
      <c r="D29" s="19" t="n"/>
    </row>
    <row r="30" ht="16.5" customHeight="1">
      <c r="A30" s="19" t="inlineStr">
        <is>
          <t>点卡相关</t>
        </is>
      </c>
      <c r="B30" s="19" t="inlineStr">
        <is>
          <t>9月月卡</t>
        </is>
      </c>
      <c r="C30" s="20" t="n">
        <v>290</v>
      </c>
      <c r="D30" s="19" t="n">
        <v>9</v>
      </c>
    </row>
    <row r="31" ht="16.5" customHeight="1">
      <c r="A31" s="19" t="inlineStr">
        <is>
          <t>点卡相关</t>
        </is>
      </c>
      <c r="B31" s="19" t="inlineStr">
        <is>
          <t>8月30点卡</t>
        </is>
      </c>
      <c r="C31" s="20" t="n">
        <v>50</v>
      </c>
      <c r="D31" s="19" t="n"/>
    </row>
    <row r="32" ht="16.5" customHeight="1">
      <c r="A32" s="19" t="inlineStr">
        <is>
          <t>点卡相关</t>
        </is>
      </c>
      <c r="B32" s="21" t="n"/>
      <c r="C32" s="22" t="n"/>
      <c r="D32" s="21" t="n"/>
    </row>
    <row r="33" ht="15" customHeight="1">
      <c r="A33" s="21" t="inlineStr"/>
      <c r="B33" s="21" t="inlineStr">
        <is>
          <t>点卡小计</t>
        </is>
      </c>
      <c r="C33" s="22">
        <f>SUM(C16:C31)</f>
        <v/>
      </c>
      <c r="D33" s="21" t="inlineStr">
        <is>
          <t>全部点卡充值合计</t>
        </is>
      </c>
    </row>
    <row r="34" ht="26" customHeight="1">
      <c r="A34" s="16" t="inlineStr">
        <is>
          <t>▌召唤兽采购</t>
        </is>
      </c>
      <c r="B34" s="17" t="n"/>
      <c r="C34" s="17" t="n"/>
      <c r="D34" s="18" t="n"/>
    </row>
    <row r="35" ht="16.5" customHeight="1">
      <c r="A35" s="9" t="inlineStr">
        <is>
          <t>召唤兽采购</t>
        </is>
      </c>
      <c r="B35" s="9" t="inlineStr">
        <is>
          <t>蓝书力宠画魂</t>
        </is>
      </c>
      <c r="C35" s="8" t="n">
        <v>128</v>
      </c>
      <c r="D35" s="9" t="inlineStr">
        <is>
          <t>力宠（已卖出）</t>
        </is>
      </c>
    </row>
    <row r="36" ht="16.5" customHeight="1">
      <c r="A36" s="9" t="inlineStr">
        <is>
          <t>召唤兽采购</t>
        </is>
      </c>
      <c r="B36" s="9" t="inlineStr">
        <is>
          <t>力宠蝴蝶仙子</t>
        </is>
      </c>
      <c r="C36" s="8" t="n">
        <v>140</v>
      </c>
      <c r="D36" s="9" t="inlineStr">
        <is>
          <t>力宠</t>
        </is>
      </c>
    </row>
    <row r="37" ht="16.5" customHeight="1">
      <c r="A37" s="9" t="inlineStr">
        <is>
          <t>召唤兽采购</t>
        </is>
      </c>
      <c r="B37" s="9" t="inlineStr">
        <is>
          <t>力宠吸血鬼</t>
        </is>
      </c>
      <c r="C37" s="8" t="n">
        <v>120</v>
      </c>
      <c r="D37" s="9" t="inlineStr">
        <is>
          <t>力宠（已卖出）</t>
        </is>
      </c>
    </row>
    <row r="38" ht="16.5" customHeight="1">
      <c r="A38" s="9" t="inlineStr">
        <is>
          <t>召唤兽采购</t>
        </is>
      </c>
      <c r="B38" s="9" t="inlineStr">
        <is>
          <t>力宠龙鲤</t>
        </is>
      </c>
      <c r="C38" s="8" t="n">
        <v>168</v>
      </c>
      <c r="D38" s="9" t="inlineStr">
        <is>
          <t>力宠 （已卖出）</t>
        </is>
      </c>
    </row>
    <row r="39" ht="16.5" customHeight="1">
      <c r="A39" s="9" t="inlineStr">
        <is>
          <t>召唤兽采购</t>
        </is>
      </c>
      <c r="B39" s="9" t="inlineStr">
        <is>
          <t>购入法宠</t>
        </is>
      </c>
      <c r="C39" s="8" t="n">
        <v>106</v>
      </c>
      <c r="D39" s="9" t="inlineStr">
        <is>
          <t>法宠（后续卖出）</t>
        </is>
      </c>
    </row>
    <row r="40" ht="16.5" customHeight="1">
      <c r="A40" s="19" t="inlineStr">
        <is>
          <t>召唤兽采购</t>
        </is>
      </c>
      <c r="B40" s="19" t="inlineStr">
        <is>
          <t xml:space="preserve">79龙鲤 </t>
        </is>
      </c>
      <c r="C40" s="20" t="n">
        <v>68.25</v>
      </c>
      <c r="D40" s="9" t="inlineStr">
        <is>
          <t>力宠</t>
        </is>
      </c>
    </row>
    <row r="41" ht="16.5" customHeight="1">
      <c r="A41" s="19" t="inlineStr">
        <is>
          <t>召唤兽采购</t>
        </is>
      </c>
      <c r="B41" s="19" t="inlineStr">
        <is>
          <t>79龙鲤 2</t>
        </is>
      </c>
      <c r="C41" s="20" t="n">
        <v>65</v>
      </c>
      <c r="D41" s="9" t="inlineStr">
        <is>
          <t>力宠</t>
        </is>
      </c>
    </row>
    <row r="42" ht="16.5" customHeight="1">
      <c r="A42" s="19" t="inlineStr">
        <is>
          <t>召唤兽采购</t>
        </is>
      </c>
      <c r="B42" s="19" t="inlineStr">
        <is>
          <t>须弥画魂高魔心带套0903</t>
        </is>
      </c>
      <c r="C42" s="20" t="n">
        <v>409</v>
      </c>
      <c r="D42" s="19" t="inlineStr">
        <is>
          <t>法宠</t>
        </is>
      </c>
    </row>
    <row r="43" ht="16.5" customHeight="1">
      <c r="A43" s="19" t="inlineStr">
        <is>
          <t>召唤兽采购</t>
        </is>
      </c>
      <c r="B43" s="19" t="inlineStr">
        <is>
          <t xml:space="preserve">龙鲤0908 </t>
        </is>
      </c>
      <c r="C43" s="20" t="n">
        <v>177</v>
      </c>
      <c r="D43" s="9" t="inlineStr">
        <is>
          <t>力宠</t>
        </is>
      </c>
    </row>
    <row r="44" ht="16.5" customHeight="1">
      <c r="A44" s="19" t="inlineStr">
        <is>
          <t>召唤兽采购</t>
        </is>
      </c>
      <c r="B44" s="19" t="inlineStr">
        <is>
          <t>三技能女娲0908</t>
        </is>
      </c>
      <c r="C44" s="20" t="n">
        <v>160</v>
      </c>
      <c r="D44" s="9" t="inlineStr">
        <is>
          <t>力宠</t>
        </is>
      </c>
    </row>
    <row r="45" ht="15" customHeight="1">
      <c r="A45" s="19" t="inlineStr">
        <is>
          <t>召唤兽采购</t>
        </is>
      </c>
      <c r="B45" s="19" t="inlineStr">
        <is>
          <t>雷鸟人须弥 9月11</t>
        </is>
      </c>
      <c r="C45" s="20" t="n">
        <v>240</v>
      </c>
      <c r="D45" s="9" t="inlineStr">
        <is>
          <t>须弥法宠</t>
        </is>
      </c>
    </row>
    <row r="46" ht="26" customHeight="1">
      <c r="A46" s="21" t="inlineStr"/>
      <c r="B46" s="21" t="inlineStr">
        <is>
          <t>购宠小计</t>
        </is>
      </c>
      <c r="C46" s="22">
        <f>SUM(C35:C45)</f>
        <v/>
      </c>
      <c r="D46" s="21" t="inlineStr">
        <is>
          <t>宠物采购总花费</t>
        </is>
      </c>
    </row>
    <row r="47" ht="16.5" customHeight="1">
      <c r="A47" s="16" t="inlineStr">
        <is>
          <t>▌装备采购</t>
        </is>
      </c>
      <c r="B47" s="17" t="n"/>
      <c r="C47" s="17" t="n"/>
      <c r="D47" s="18" t="n"/>
    </row>
    <row r="48" ht="16.5" customHeight="1">
      <c r="A48" s="9" t="inlineStr">
        <is>
          <t>装备采购</t>
        </is>
      </c>
      <c r="B48" s="9" t="inlineStr">
        <is>
          <t>主号武器</t>
        </is>
      </c>
      <c r="C48" s="8" t="n">
        <v>20</v>
      </c>
      <c r="D48" s="9" t="inlineStr">
        <is>
          <t>主力角色装备</t>
        </is>
      </c>
    </row>
    <row r="49" ht="16.5" customHeight="1">
      <c r="A49" s="9" t="inlineStr">
        <is>
          <t>装备采购</t>
        </is>
      </c>
      <c r="B49" s="9" t="inlineStr">
        <is>
          <t>主号鞋子</t>
        </is>
      </c>
      <c r="C49" s="8" t="n">
        <v>35</v>
      </c>
      <c r="D49" s="9" t="inlineStr">
        <is>
          <t>主力角色装备</t>
        </is>
      </c>
    </row>
    <row r="50" ht="16.5" customHeight="1">
      <c r="A50" s="9" t="inlineStr">
        <is>
          <t>装备采购</t>
        </is>
      </c>
      <c r="B50" s="9" t="inlineStr">
        <is>
          <t>4 角色 100 级国标武器</t>
        </is>
      </c>
      <c r="C50" s="8" t="n">
        <v>40.5</v>
      </c>
      <c r="D50" s="9" t="inlineStr">
        <is>
          <t>其余小号武器</t>
        </is>
      </c>
    </row>
    <row r="51" ht="16.5" customHeight="1">
      <c r="A51" s="19" t="inlineStr">
        <is>
          <t>装备采购</t>
        </is>
      </c>
      <c r="B51" s="19" t="inlineStr">
        <is>
          <t>国标武器</t>
        </is>
      </c>
      <c r="C51" s="20" t="n">
        <v>10</v>
      </c>
      <c r="D51" s="19" t="inlineStr">
        <is>
          <t>装备采购</t>
        </is>
      </c>
    </row>
    <row r="52" ht="16.5" customHeight="1">
      <c r="A52" s="19" t="inlineStr">
        <is>
          <t>装备采购</t>
        </is>
      </c>
      <c r="B52" s="19" t="inlineStr">
        <is>
          <t>7锻3孔腰带</t>
        </is>
      </c>
      <c r="C52" s="20" t="n">
        <v>35</v>
      </c>
      <c r="D52" s="19" t="inlineStr">
        <is>
          <t>装备采购</t>
        </is>
      </c>
    </row>
    <row r="53" ht="16.5" customHeight="1">
      <c r="A53" s="19" t="inlineStr">
        <is>
          <t>装备采购</t>
        </is>
      </c>
      <c r="B53" s="19" t="n"/>
      <c r="C53" s="20" t="n"/>
      <c r="D53" s="19" t="n"/>
    </row>
    <row r="54" ht="16.5" customHeight="1">
      <c r="A54" s="19" t="inlineStr">
        <is>
          <t>装备采购</t>
        </is>
      </c>
      <c r="B54" s="19" t="n"/>
      <c r="C54" s="20" t="n"/>
      <c r="D54" s="19" t="n"/>
    </row>
    <row r="55" ht="15" customHeight="1">
      <c r="A55" s="19" t="inlineStr">
        <is>
          <t>装备采购</t>
        </is>
      </c>
      <c r="B55" s="19" t="n"/>
      <c r="C55" s="20" t="n"/>
      <c r="D55" s="19" t="n"/>
    </row>
    <row r="56" ht="15" customHeight="1">
      <c r="A56" s="21" t="inlineStr"/>
      <c r="B56" s="21" t="inlineStr">
        <is>
          <t>装备小计</t>
        </is>
      </c>
      <c r="C56" s="22">
        <f>SUM(C48:C55)</f>
        <v/>
      </c>
      <c r="D56" s="21" t="inlineStr">
        <is>
          <t>装备总花费</t>
        </is>
      </c>
    </row>
    <row r="57" ht="18" customHeight="1"/>
    <row r="58" ht="18" customHeight="1">
      <c r="A58" s="23" t="inlineStr"/>
      <c r="B58" s="23" t="inlineStr">
        <is>
          <t>全部支出合计</t>
        </is>
      </c>
      <c r="C58" s="11">
        <f>C14+C33+C46+C56</f>
        <v/>
      </c>
      <c r="D58" s="23" t="inlineStr">
        <is>
          <t>所有板块总支出</t>
        </is>
      </c>
    </row>
    <row r="59" ht="16.5" customHeight="1"/>
    <row r="60" ht="16.5" customHeight="1">
      <c r="A60" s="14" t="inlineStr">
        <is>
          <t>📌 操作说明：在黄色底纹行录入新支出，金额填入 C 列，小计和合计自动更新。</t>
        </is>
      </c>
    </row>
    <row r="61" ht="16.5" customHeight="1">
      <c r="A61" s="14" t="inlineStr">
        <is>
          <t>📌 如需更多行：右键插入行 → 从上方黄色行复制格式即可。</t>
        </is>
      </c>
    </row>
  </sheetData>
  <mergeCells count="6">
    <mergeCell ref="A1:D1"/>
    <mergeCell ref="A34:D34"/>
    <mergeCell ref="A3:D3"/>
    <mergeCell ref="A15:D15"/>
    <mergeCell ref="A47:D47"/>
    <mergeCell ref="A60:D6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I17" sqref="I17"/>
    </sheetView>
  </sheetViews>
  <sheetFormatPr baseColWidth="8" defaultColWidth="9" defaultRowHeight="13.5"/>
  <cols>
    <col width="20" customWidth="1" min="1" max="1"/>
    <col width="30" customWidth="1" min="2" max="2"/>
    <col width="16" customWidth="1" min="3" max="3"/>
    <col width="30" customWidth="1" min="4" max="4"/>
  </cols>
  <sheetData>
    <row r="1" ht="38" customHeight="1">
      <c r="A1" s="1" t="inlineStr">
        <is>
          <t>梦幻西游 · 游戏变现收入明细表（黄色行为新增录入区）</t>
        </is>
      </c>
    </row>
    <row r="2" ht="28" customHeight="1">
      <c r="A2" s="2" t="inlineStr">
        <is>
          <t>收入分类</t>
        </is>
      </c>
      <c r="B2" s="2" t="inlineStr">
        <is>
          <t>变现项目</t>
        </is>
      </c>
      <c r="C2" s="3" t="inlineStr">
        <is>
          <t>金额 (元)</t>
        </is>
      </c>
      <c r="D2" s="2" t="inlineStr">
        <is>
          <t>备注</t>
        </is>
      </c>
    </row>
    <row r="3" ht="26" customHeight="1">
      <c r="A3" s="16" t="inlineStr">
        <is>
          <t>▌宠物变现</t>
        </is>
      </c>
      <c r="B3" s="17" t="n"/>
      <c r="C3" s="17" t="n"/>
      <c r="D3" s="18" t="n"/>
    </row>
    <row r="4" ht="16.5" customHeight="1">
      <c r="A4" s="9" t="inlineStr">
        <is>
          <t>宠物变现</t>
        </is>
      </c>
      <c r="B4" s="9" t="inlineStr">
        <is>
          <t>出售法宠回款</t>
        </is>
      </c>
      <c r="C4" s="8" t="n">
        <v>85.5</v>
      </c>
      <c r="D4" s="9" t="inlineStr">
        <is>
          <t>采购法宠卖出收入</t>
        </is>
      </c>
    </row>
    <row r="5" ht="16.5" customHeight="1">
      <c r="A5" s="19" t="inlineStr">
        <is>
          <t>宠物变现</t>
        </is>
      </c>
      <c r="B5" s="19" t="inlineStr">
        <is>
          <t>龙鲤</t>
        </is>
      </c>
      <c r="C5" s="20" t="n">
        <v>161.5</v>
      </c>
      <c r="D5" s="19" t="inlineStr">
        <is>
          <t>卖出</t>
        </is>
      </c>
    </row>
    <row r="6" ht="16.5" customHeight="1">
      <c r="A6" s="19" t="inlineStr">
        <is>
          <t>宠物变现</t>
        </is>
      </c>
      <c r="B6" s="19" t="inlineStr">
        <is>
          <t>吸血鬼</t>
        </is>
      </c>
      <c r="C6" s="20" t="n">
        <v>123.5</v>
      </c>
      <c r="D6" s="19" t="inlineStr">
        <is>
          <t>卖出</t>
        </is>
      </c>
    </row>
    <row r="7" ht="16.5" customHeight="1">
      <c r="A7" s="19" t="inlineStr">
        <is>
          <t>宠物变现</t>
        </is>
      </c>
      <c r="B7" s="19" t="inlineStr">
        <is>
          <t>3JN胚子</t>
        </is>
      </c>
      <c r="C7" s="20" t="n">
        <v>9.5</v>
      </c>
      <c r="D7" s="19" t="inlineStr">
        <is>
          <t>卖出</t>
        </is>
      </c>
    </row>
    <row r="8" ht="16.5" customHeight="1">
      <c r="A8" s="19" t="inlineStr">
        <is>
          <t>宠物变现</t>
        </is>
      </c>
      <c r="B8" s="19" t="inlineStr">
        <is>
          <t>画魂  8月29</t>
        </is>
      </c>
      <c r="C8" s="20" t="n">
        <v>115</v>
      </c>
      <c r="D8" s="19" t="inlineStr">
        <is>
          <t>卖出</t>
        </is>
      </c>
    </row>
    <row r="9" ht="16.5" customHeight="1">
      <c r="A9" s="19" t="inlineStr">
        <is>
          <t>宠物变现</t>
        </is>
      </c>
      <c r="B9" s="19" t="inlineStr">
        <is>
          <t>3JN胚子  8月10</t>
        </is>
      </c>
      <c r="C9" s="20" t="n">
        <v>9.5</v>
      </c>
      <c r="D9" s="19" t="inlineStr">
        <is>
          <t>卖出</t>
        </is>
      </c>
    </row>
    <row r="10" ht="16.5" customHeight="1">
      <c r="A10" s="19" t="inlineStr">
        <is>
          <t>宠物变现</t>
        </is>
      </c>
      <c r="B10" s="19" t="inlineStr">
        <is>
          <t>龙鲤 胚子*2</t>
        </is>
      </c>
      <c r="C10" s="20" t="n">
        <v>133</v>
      </c>
      <c r="D10" s="19" t="inlineStr">
        <is>
          <t>卖出</t>
        </is>
      </c>
    </row>
    <row r="11" ht="16.5" customHeight="1">
      <c r="A11" s="19" t="inlineStr">
        <is>
          <t>宠物变现</t>
        </is>
      </c>
      <c r="B11" s="19" t="inlineStr">
        <is>
          <t>蝴蝶仙子*2</t>
        </is>
      </c>
      <c r="C11" s="20" t="n">
        <v>66.5</v>
      </c>
      <c r="D11" s="19" t="inlineStr">
        <is>
          <t>卖出</t>
        </is>
      </c>
    </row>
    <row r="12" ht="16.5" customHeight="1">
      <c r="A12" s="19" t="inlineStr">
        <is>
          <t>宠物变现</t>
        </is>
      </c>
      <c r="B12" s="19" t="inlineStr">
        <is>
          <t>地摊律法女娲  9月12</t>
        </is>
      </c>
      <c r="C12" s="20" t="n">
        <v>14.5</v>
      </c>
      <c r="D12" s="19" t="inlineStr">
        <is>
          <t>卖出</t>
        </is>
      </c>
    </row>
    <row r="13" ht="16.5" customHeight="1">
      <c r="A13" s="19" t="inlineStr">
        <is>
          <t>宠物变现</t>
        </is>
      </c>
      <c r="B13" s="19" t="inlineStr">
        <is>
          <t>地摊灵符女娲法  9月15</t>
        </is>
      </c>
      <c r="C13" s="20" t="n">
        <v>14.5</v>
      </c>
      <c r="D13" s="19" t="inlineStr">
        <is>
          <t>卖出</t>
        </is>
      </c>
    </row>
    <row r="14" ht="16.5" customHeight="1">
      <c r="A14" s="19" t="inlineStr">
        <is>
          <t>宠物变现</t>
        </is>
      </c>
      <c r="B14" s="19" t="inlineStr">
        <is>
          <t>物品 80环装</t>
        </is>
      </c>
      <c r="C14" s="20" t="n">
        <v>9.5</v>
      </c>
      <c r="D14" s="19" t="inlineStr">
        <is>
          <t>卖出</t>
        </is>
      </c>
    </row>
    <row r="15" ht="15" customHeight="1">
      <c r="A15" s="21" t="inlineStr"/>
      <c r="B15" s="21" t="inlineStr">
        <is>
          <t>宠物小计</t>
        </is>
      </c>
      <c r="C15" s="22">
        <f>SUM(C4:C14)</f>
        <v/>
      </c>
      <c r="D15" s="21" t="inlineStr"/>
    </row>
    <row r="16" ht="26" customHeight="1">
      <c r="A16" s="16" t="inlineStr">
        <is>
          <t>▌物资变现</t>
        </is>
      </c>
      <c r="B16" s="17" t="n"/>
      <c r="C16" s="17" t="n"/>
      <c r="D16" s="18" t="n"/>
    </row>
    <row r="17" ht="16.5" customHeight="1">
      <c r="A17" s="9" t="inlineStr">
        <is>
          <t>物资变现</t>
        </is>
      </c>
      <c r="B17" s="9" t="inlineStr">
        <is>
          <t>第一坨菜售卖</t>
        </is>
      </c>
      <c r="C17" s="8" t="n">
        <v>202</v>
      </c>
      <c r="D17" s="9" t="inlineStr">
        <is>
          <t>游戏产出物资</t>
        </is>
      </c>
    </row>
    <row r="18" ht="16.5" customHeight="1">
      <c r="A18" s="9" t="inlineStr">
        <is>
          <t>物资变现</t>
        </is>
      </c>
      <c r="B18" s="9" t="inlineStr">
        <is>
          <t>小菜 1</t>
        </is>
      </c>
      <c r="C18" s="8" t="n">
        <v>67.45</v>
      </c>
      <c r="D18" s="9" t="inlineStr">
        <is>
          <t>新增变现</t>
        </is>
      </c>
    </row>
    <row r="19" ht="16.5" customHeight="1">
      <c r="A19" s="9" t="inlineStr">
        <is>
          <t>物资变现</t>
        </is>
      </c>
      <c r="B19" s="9" t="inlineStr">
        <is>
          <t>小菜 2</t>
        </is>
      </c>
      <c r="C19" s="8" t="n">
        <v>67.45</v>
      </c>
      <c r="D19" s="9" t="inlineStr">
        <is>
          <t>新增变现</t>
        </is>
      </c>
    </row>
    <row r="20" ht="16.5" customHeight="1">
      <c r="A20" s="9" t="inlineStr">
        <is>
          <t>物资变现</t>
        </is>
      </c>
      <c r="B20" s="9" t="inlineStr">
        <is>
          <t>小菜 3</t>
        </is>
      </c>
      <c r="C20" s="8" t="n">
        <v>66.78</v>
      </c>
      <c r="D20" s="9" t="inlineStr">
        <is>
          <t>新增变现</t>
        </is>
      </c>
    </row>
    <row r="21" ht="16.5" customHeight="1">
      <c r="A21" s="9" t="inlineStr">
        <is>
          <t>物资变现</t>
        </is>
      </c>
      <c r="B21" s="9" t="inlineStr">
        <is>
          <t>小菜4</t>
        </is>
      </c>
      <c r="C21" s="8" t="n">
        <v>66.78</v>
      </c>
      <c r="D21" s="9" t="inlineStr">
        <is>
          <t>新增变现</t>
        </is>
      </c>
    </row>
    <row r="22" ht="16.5" customHeight="1">
      <c r="A22" s="19" t="inlineStr">
        <is>
          <t>物资变现</t>
        </is>
      </c>
      <c r="B22" s="9" t="inlineStr">
        <is>
          <t>小菜5</t>
        </is>
      </c>
      <c r="C22" s="20" t="n">
        <v>66.02</v>
      </c>
      <c r="D22" s="9" t="inlineStr">
        <is>
          <t>新增变现</t>
        </is>
      </c>
    </row>
    <row r="23" ht="16.5" customHeight="1">
      <c r="A23" s="19" t="inlineStr">
        <is>
          <t>物资变现</t>
        </is>
      </c>
      <c r="B23" s="9" t="inlineStr">
        <is>
          <t>小菜6</t>
        </is>
      </c>
      <c r="C23" s="20" t="n">
        <v>65.55</v>
      </c>
      <c r="D23" s="9" t="inlineStr">
        <is>
          <t>新增变现</t>
        </is>
      </c>
    </row>
    <row r="24" ht="16.5" customHeight="1">
      <c r="A24" s="19" t="inlineStr">
        <is>
          <t>物资变现</t>
        </is>
      </c>
      <c r="B24" s="9" t="inlineStr">
        <is>
          <t>小菜7</t>
        </is>
      </c>
      <c r="C24" s="20" t="n">
        <v>66.02</v>
      </c>
      <c r="D24" s="9" t="inlineStr">
        <is>
          <t>新增变现</t>
        </is>
      </c>
    </row>
    <row r="25" ht="16.5" customHeight="1">
      <c r="A25" s="19" t="inlineStr">
        <is>
          <t>物资变现</t>
        </is>
      </c>
      <c r="B25" s="19" t="inlineStr">
        <is>
          <t>小菜8   8月29</t>
        </is>
      </c>
      <c r="C25" s="20" t="n">
        <v>69.2</v>
      </c>
      <c r="D25" s="9" t="inlineStr">
        <is>
          <t>新增变现</t>
        </is>
      </c>
    </row>
    <row r="26" ht="16.5" customHeight="1">
      <c r="A26" s="19" t="inlineStr">
        <is>
          <t>物资变现</t>
        </is>
      </c>
      <c r="B26" s="19" t="inlineStr">
        <is>
          <t>小菜    8月11</t>
        </is>
      </c>
      <c r="C26" s="20" t="n">
        <v>68</v>
      </c>
      <c r="D26" s="9" t="inlineStr">
        <is>
          <t>新增变现</t>
        </is>
      </c>
    </row>
    <row r="27" ht="16.5" customHeight="1">
      <c r="A27" s="19" t="inlineStr">
        <is>
          <t>物资变现</t>
        </is>
      </c>
      <c r="B27" s="19" t="inlineStr">
        <is>
          <t>8月20</t>
        </is>
      </c>
      <c r="C27" s="20" t="n">
        <v>41</v>
      </c>
      <c r="D27" s="9" t="inlineStr">
        <is>
          <t>新增变现</t>
        </is>
      </c>
    </row>
    <row r="28" ht="16.5" customHeight="1">
      <c r="A28" s="19" t="inlineStr">
        <is>
          <t>物资变现</t>
        </is>
      </c>
      <c r="B28" s="19" t="inlineStr">
        <is>
          <t>8月23</t>
        </is>
      </c>
      <c r="C28" s="20" t="n">
        <v>67.7</v>
      </c>
      <c r="D28" s="9" t="inlineStr">
        <is>
          <t>新增变现</t>
        </is>
      </c>
    </row>
    <row r="29" ht="16.5" customHeight="1">
      <c r="A29" s="19" t="inlineStr">
        <is>
          <t>物资变现</t>
        </is>
      </c>
      <c r="B29" s="19" t="inlineStr">
        <is>
          <t>8月13</t>
        </is>
      </c>
      <c r="C29" s="20" t="n">
        <v>68</v>
      </c>
      <c r="D29" s="9" t="inlineStr">
        <is>
          <t>新增变现</t>
        </is>
      </c>
    </row>
    <row r="30" ht="16.5" customHeight="1">
      <c r="A30" s="19" t="inlineStr">
        <is>
          <t>物资变现</t>
        </is>
      </c>
      <c r="B30" s="19" t="inlineStr">
        <is>
          <t>小菜9 8月27</t>
        </is>
      </c>
      <c r="C30" s="20" t="n">
        <v>41.82</v>
      </c>
      <c r="D30" s="9" t="inlineStr">
        <is>
          <t>新增变现</t>
        </is>
      </c>
    </row>
    <row r="31" ht="15" customHeight="1">
      <c r="A31" s="19" t="inlineStr">
        <is>
          <t>物资变现</t>
        </is>
      </c>
      <c r="B31" s="19" t="inlineStr">
        <is>
          <t>出菜1坨 9月11</t>
        </is>
      </c>
      <c r="C31" s="20" t="n">
        <v>197</v>
      </c>
      <c r="D31" s="9" t="inlineStr">
        <is>
          <t>新增变现</t>
        </is>
      </c>
    </row>
    <row r="32" ht="15" customHeight="1">
      <c r="A32" s="19" t="inlineStr">
        <is>
          <t>物资变现</t>
        </is>
      </c>
      <c r="B32" s="19" t="inlineStr">
        <is>
          <t>出菜400W 9月17</t>
        </is>
      </c>
      <c r="C32" s="20" t="n">
        <v>25.84</v>
      </c>
      <c r="D32" s="9" t="inlineStr">
        <is>
          <t>新增变现</t>
        </is>
      </c>
    </row>
    <row r="33" ht="16.5" customHeight="1">
      <c r="A33" s="19" t="inlineStr">
        <is>
          <t>物资变现</t>
        </is>
      </c>
      <c r="B33" s="19" t="inlineStr">
        <is>
          <t>出菜3000W 9月17</t>
        </is>
      </c>
      <c r="C33" s="20" t="n">
        <v>191.9</v>
      </c>
      <c r="D33" s="9" t="inlineStr">
        <is>
          <t>新增变现</t>
        </is>
      </c>
    </row>
    <row r="34" ht="16.5" customHeight="1">
      <c r="A34" s="19" t="inlineStr">
        <is>
          <t>物资变现</t>
        </is>
      </c>
      <c r="B34" s="19" t="inlineStr">
        <is>
          <t>出菜半坨 9月11</t>
        </is>
      </c>
      <c r="C34" s="20" t="n">
        <v>111</v>
      </c>
      <c r="D34" s="9" t="inlineStr">
        <is>
          <t>新增变现</t>
        </is>
      </c>
    </row>
    <row r="35" ht="18" customHeight="1">
      <c r="A35" s="21" t="inlineStr"/>
      <c r="B35" s="21" t="inlineStr">
        <is>
          <t>物资小计</t>
        </is>
      </c>
      <c r="C35" s="22">
        <f>SUM(C17:C34)</f>
        <v/>
      </c>
      <c r="D35" s="21" t="inlineStr"/>
    </row>
    <row r="37" ht="16.5" customHeight="1">
      <c r="A37" s="21" t="inlineStr"/>
      <c r="B37" s="21" t="inlineStr">
        <is>
          <t>全部变现总收入</t>
        </is>
      </c>
      <c r="C37" s="22">
        <f>C15+C35</f>
        <v/>
      </c>
      <c r="D37" s="21" t="inlineStr">
        <is>
          <t>所有回款合计</t>
        </is>
      </c>
    </row>
    <row r="39" ht="16.5" customHeight="1">
      <c r="A39" s="14" t="inlineStr">
        <is>
          <t>📌 操作说明：在黄色底纹行录入新收入，金额填入 C 列，小计和合计自动更新。</t>
        </is>
      </c>
    </row>
  </sheetData>
  <mergeCells count="4">
    <mergeCell ref="A1:D1"/>
    <mergeCell ref="A3:D3"/>
    <mergeCell ref="A16:D16"/>
    <mergeCell ref="A39:D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tabSelected="1" workbookViewId="0">
      <selection activeCell="A15" sqref="A15"/>
    </sheetView>
  </sheetViews>
  <sheetFormatPr baseColWidth="8" defaultColWidth="9" defaultRowHeight="13.5"/>
  <cols>
    <col width="28" customWidth="1" min="1" max="1"/>
    <col width="16" customWidth="1" min="2" max="2"/>
    <col width="50" customWidth="1" min="3" max="3"/>
  </cols>
  <sheetData>
    <row r="1" ht="38" customHeight="1">
      <c r="A1" s="1" t="inlineStr">
        <is>
          <t>梦幻西游 · 成本核算汇总表（自动计算）</t>
        </is>
      </c>
    </row>
    <row r="2" ht="28" customHeight="1">
      <c r="A2" s="2" t="inlineStr">
        <is>
          <t>核算项目</t>
        </is>
      </c>
      <c r="B2" s="2" t="inlineStr">
        <is>
          <t>金额 (元)</t>
        </is>
      </c>
      <c r="C2" s="3" t="inlineStr">
        <is>
          <t>说明</t>
        </is>
      </c>
    </row>
    <row r="3" ht="16.5" customHeight="1">
      <c r="A3" s="4" t="inlineStr">
        <is>
          <t>游戏总支出</t>
        </is>
      </c>
      <c r="B3" s="5">
        <f>支出明细表!C58</f>
        <v/>
      </c>
      <c r="C3" s="6" t="inlineStr">
        <is>
          <t>全部账号、点卡、宠物、装备花销</t>
        </is>
      </c>
    </row>
    <row r="4" ht="16.5" customHeight="1">
      <c r="A4" s="7" t="inlineStr">
        <is>
          <t>减：游戏变现总收入</t>
        </is>
      </c>
      <c r="B4" s="8">
        <f>游戏变现收入明细表!C37</f>
        <v/>
      </c>
      <c r="C4" s="9" t="inlineStr">
        <is>
          <t>卖宠、卖游戏物资全部回款</t>
        </is>
      </c>
    </row>
    <row r="5" ht="18" customHeight="1">
      <c r="A5" s="10" t="inlineStr">
        <is>
          <t>最新实际净投入</t>
        </is>
      </c>
      <c r="B5" s="11">
        <f>B3-B4</f>
        <v/>
      </c>
      <c r="C5" s="12" t="inlineStr">
        <is>
          <t>扣除变现后自付成本</t>
        </is>
      </c>
    </row>
    <row r="7" ht="18" customHeight="1">
      <c r="A7" s="13" t="inlineStr">
        <is>
          <t>📌 补充说明</t>
        </is>
      </c>
    </row>
    <row r="8" ht="22" customHeight="1">
      <c r="A8" s="14" t="inlineStr">
        <is>
          <t>① 原文档内 1102 元已全部分拆至各细分条目，不再单独统计；</t>
        </is>
      </c>
    </row>
    <row r="9" ht="22" customHeight="1">
      <c r="A9" s="14" t="inlineStr">
        <is>
          <t>② 25 元追加点卡、300 元月卡统一归类点卡类目；</t>
        </is>
      </c>
    </row>
    <row r="10" ht="22" customHeight="1">
      <c r="A10" s="14" t="inlineStr">
        <is>
          <t>③ 本次新增 2 笔小菜变现收入，单份 67.45 元，合计 134.9 元；</t>
        </is>
      </c>
    </row>
    <row r="11" ht="22" customHeight="1">
      <c r="A11" s="14" t="inlineStr">
        <is>
          <t>④ 本表净投入自动引用「支出」和「收入」两个工作表的合计，无需手动修改；</t>
        </is>
      </c>
    </row>
    <row r="12" ht="22" customHeight="1">
      <c r="A12" s="14" t="inlineStr">
        <is>
          <t>⑤ 在「支出明细表」或「游戏变现收入明细表」录入新数据后，此表自动更新。</t>
        </is>
      </c>
    </row>
    <row r="14" ht="16.5" customHeight="1">
      <c r="A14" s="15" t="inlineStr"/>
    </row>
  </sheetData>
  <mergeCells count="8">
    <mergeCell ref="A10:C10"/>
    <mergeCell ref="A11:C11"/>
    <mergeCell ref="A1:C1"/>
    <mergeCell ref="A14:C14"/>
    <mergeCell ref="A8:C8"/>
    <mergeCell ref="A9:C9"/>
    <mergeCell ref="A12:C12"/>
    <mergeCell ref="A7:C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2026-07-24T07:19:00Z</dcterms:created>
  <dcterms:modified xmlns:dcterms="http://purl.org/dc/terms/" xmlns:xsi="http://www.w3.org/2001/XMLSchema-instance" xsi:type="dcterms:W3CDTF">2026-09-19T02:00:32Z</dcterms:modified>
  <cp:lastModifiedBy>utsuku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5AD09BDA83BE459CA7C2717B385EB23C_12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