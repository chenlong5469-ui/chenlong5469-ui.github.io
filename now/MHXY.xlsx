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HH\now\"/>
    </mc:Choice>
  </mc:AlternateContent>
  <bookViews>
    <workbookView windowWidth="28800" windowHeight="12375" firstSheet="1"/>
  </bookViews>
  <sheets>
    <sheet name="支出明细表" sheetId="1" r:id="rId1"/>
    <sheet name="游戏变现收入明细表" sheetId="2" r:id="rId2"/>
    <sheet name="成本核算汇总表" sheetId="3" r:id="rId3"/>
    <sheet name="历史坏账归档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<sst xmlns="http://schemas.openxmlformats.org/spreadsheetml/2006/main" count="397" uniqueCount="203">
  <si>
    <t>梦幻西游 · 支出明细表（当前新号账期｜黄色行为新增录入区）</t>
  </si>
  <si>
    <t>分类</t>
  </si>
  <si>
    <t>明细项目</t>
  </si>
  <si>
    <t>金额 (元)</t>
  </si>
  <si>
    <t>备注</t>
  </si>
  <si>
    <t>▌角色账号购置</t>
  </si>
  <si>
    <t>角色账号购置</t>
  </si>
  <si>
    <t>无底洞</t>
  </si>
  <si>
    <t>新号（含装备/召唤兽）</t>
  </si>
  <si>
    <t>地府伞</t>
  </si>
  <si>
    <t>女儿</t>
  </si>
  <si>
    <t>地府鞭</t>
  </si>
  <si>
    <t>地府男魔</t>
  </si>
  <si>
    <t>化生摆摊号</t>
  </si>
  <si>
    <t>B新号（含装备/召唤兽）</t>
  </si>
  <si>
    <t>角色账号购置B</t>
  </si>
  <si>
    <t>地府老虎</t>
  </si>
  <si>
    <t>角色账号购置 小计</t>
  </si>
  <si>
    <t>▌点卡相关</t>
  </si>
  <si>
    <t>点卡相关</t>
  </si>
  <si>
    <t>9月25 新号点卡</t>
  </si>
  <si>
    <t>月卡</t>
  </si>
  <si>
    <t>10月8号补点卡</t>
  </si>
  <si>
    <t>B组点卡</t>
  </si>
  <si>
    <t>100启动</t>
  </si>
  <si>
    <t>A点卡</t>
  </si>
  <si>
    <t>10月19补100</t>
  </si>
  <si>
    <t>点卡相关 小计</t>
  </si>
  <si>
    <t>▌召唤兽采购</t>
  </si>
  <si>
    <t>摆摊号月影仙</t>
  </si>
  <si>
    <t>召唤兽采购 小计</t>
  </si>
  <si>
    <t>▌装备采购</t>
  </si>
  <si>
    <t>装备采购 小计</t>
  </si>
  <si>
    <t>装备采购</t>
  </si>
  <si>
    <t>全部支出合计</t>
  </si>
  <si>
    <t>📌 当前仅统计新号账期；旧号数据见「历史坏账归档」。后续旧资产卖出记入变现表并备注【旧号】。</t>
  </si>
  <si>
    <t>梦幻西游 · 游戏变现收入明细表（当前新号账期｜黄色行为新增录入区）</t>
  </si>
  <si>
    <t>收入分类</t>
  </si>
  <si>
    <t>变现项目</t>
  </si>
  <si>
    <t>▌宠物变现</t>
  </si>
  <si>
    <t>涂山T</t>
  </si>
  <si>
    <t>9月29</t>
  </si>
  <si>
    <t>宠物变现 小计</t>
  </si>
  <si>
    <t>▌物资变现</t>
  </si>
  <si>
    <t>物资变现</t>
  </si>
  <si>
    <t>菜1 9月27</t>
  </si>
  <si>
    <t>胚涂山童</t>
  </si>
  <si>
    <t>菜一坨 10月4</t>
  </si>
  <si>
    <t>菜一坨 10月7</t>
  </si>
  <si>
    <t>出菜</t>
  </si>
  <si>
    <t>9月27</t>
  </si>
  <si>
    <t>男魔百亿高夜兽决</t>
  </si>
  <si>
    <t>10月13（道人来之前）</t>
  </si>
  <si>
    <t>出菜 10月14</t>
  </si>
  <si>
    <t>物资变现 小计</t>
  </si>
  <si>
    <t>▌旧号回笼</t>
  </si>
  <si>
    <t>旧号回笼</t>
  </si>
  <si>
    <t>10月6号结算</t>
  </si>
  <si>
    <t>10月8号结算（雷鸟人209蝴蝶仙子104</t>
  </si>
  <si>
    <t>10月9号结算 （卖出女儿村440,垃圾画魂403</t>
  </si>
  <si>
    <t>10月10号结算(247雷鸟人须弥</t>
  </si>
  <si>
    <t>10月15号结算（男魔 搞·不赢 360)</t>
  </si>
  <si>
    <t>10月17 结算（要·不起360)</t>
  </si>
  <si>
    <t>环装</t>
  </si>
  <si>
    <t>旧号回笼 小计</t>
  </si>
  <si>
    <t>全部变现总收入</t>
  </si>
  <si>
    <t>📌 「旧号回笼」用于记录历史坏账资产后续卖出；备注请标【旧号】。旧已变现明细见「历史坏账归档」。</t>
  </si>
  <si>
    <t>梦幻西游 · 成本核算汇总表（当前新号账期 · 自动计算）</t>
  </si>
  <si>
    <t>核算项目</t>
  </si>
  <si>
    <t>说明</t>
  </si>
  <si>
    <t>游戏总支出</t>
  </si>
  <si>
    <t>当前新号：账号（含装宠）、点卡、后续采购</t>
  </si>
  <si>
    <t>减：游戏变现总收入</t>
  </si>
  <si>
    <t>新号变现 + 旧号后续回笼（记入变现表的部分）</t>
  </si>
  <si>
    <t>最新实际净投入</t>
  </si>
  <si>
    <t>当前账期自付成本（不含历史坏账）</t>
  </si>
  <si>
    <t>—— 历史坏账备查（不计入上方净投入）——</t>
  </si>
  <si>
    <t>旧号净坏账（归档）</t>
  </si>
  <si>
    <t>见「历史坏账归档」｜支出 6455.7 − 已变现 2455.01</t>
  </si>
  <si>
    <t>旧号坏账冲回</t>
  </si>
  <si>
    <t>旧号净投入</t>
  </si>
  <si>
    <t>📌 补充说明</t>
  </si>
  <si>
    <t>① 2026-09-26 起切换新号账期：主表只统计新号；旧号全部归档为坏账。</t>
  </si>
  <si>
    <t>② 新号购置含装备与召唤兽，购号价已体现在「角色账号购置」。</t>
  </si>
  <si>
    <t>③ 旧资产后续卖出：记入「游戏变现收入明细表 → 旧号回笼」，备注标【旧号】。</t>
  </si>
  <si>
    <t>④ 完整旧明细见工作表「历史坏账归档」，页面汇总不会读取该表。</t>
  </si>
  <si>
    <t>梦幻西游 · 历史坏账归档（旧号账目，不计入当前成本核算）</t>
  </si>
  <si>
    <t>归档日期：2026-09-26｜旧号支出作坏账，后续旧资产卖出请记入「游戏变现收入明细表」并在备注标【旧号】</t>
  </si>
  <si>
    <t>核算摘要</t>
  </si>
  <si>
    <t>旧号总支出（坏账本金）</t>
  </si>
  <si>
    <t>已归档，不计入当前净投入</t>
  </si>
  <si>
    <t>旧号已变现收入</t>
  </si>
  <si>
    <t>归档时点已回笼金额</t>
  </si>
  <si>
    <t>旧号净坏账</t>
  </si>
  <si>
    <t>支出 − 已变现；后续卖出可继续回血</t>
  </si>
  <si>
    <t>一、历史支出明细（坏账）</t>
  </si>
  <si>
    <t>巨魔王一号</t>
  </si>
  <si>
    <t>【旧号坏账】 男角色</t>
  </si>
  <si>
    <t>骨精灵</t>
  </si>
  <si>
    <t>【旧号坏账】 女角色</t>
  </si>
  <si>
    <t>杀破狼</t>
  </si>
  <si>
    <t>巨魔王二号</t>
  </si>
  <si>
    <t>主号男角色</t>
  </si>
  <si>
    <t>【旧号坏账】 主力账号</t>
  </si>
  <si>
    <t>巫蛮儿</t>
  </si>
  <si>
    <t>【旧号坏账】 女儿村</t>
  </si>
  <si>
    <t>30 元点卡</t>
  </si>
  <si>
    <t>【旧号坏账】 原拆分点卡</t>
  </si>
  <si>
    <t>20 元点卡</t>
  </si>
  <si>
    <t>5 元点卡</t>
  </si>
  <si>
    <t>10 元补充点卡</t>
  </si>
  <si>
    <t>【旧号坏账】 漏算补充</t>
  </si>
  <si>
    <t>25 元追加点卡</t>
  </si>
  <si>
    <t>【旧号坏账】 后期新增</t>
  </si>
  <si>
    <t>300 元月卡</t>
  </si>
  <si>
    <t>【旧号坏账】 第一轮月卡</t>
  </si>
  <si>
    <t>小号点卡第一轮</t>
  </si>
  <si>
    <t>【旧号坏账】 小号点卡 30*5支付优惠</t>
  </si>
  <si>
    <t>8月21点卡</t>
  </si>
  <si>
    <t>【旧号坏账】</t>
  </si>
  <si>
    <t>8月24点卡</t>
  </si>
  <si>
    <t>8月27点卡</t>
  </si>
  <si>
    <t>【旧号坏账】 小号</t>
  </si>
  <si>
    <t>8月26点卡</t>
  </si>
  <si>
    <t>8月30点卡</t>
  </si>
  <si>
    <t>9月月卡</t>
  </si>
  <si>
    <t>8月30点卡50</t>
  </si>
  <si>
    <t>9月21点卡</t>
  </si>
  <si>
    <t>9月22点卡</t>
  </si>
  <si>
    <t>【旧号坏账】 4个号补</t>
  </si>
  <si>
    <t>9月23点卡</t>
  </si>
  <si>
    <t>9月25点卡</t>
  </si>
  <si>
    <t>召唤兽采购</t>
  </si>
  <si>
    <t>蓝书力宠画魂</t>
  </si>
  <si>
    <t>【旧号坏账】 力宠（已卖出）</t>
  </si>
  <si>
    <t>力宠蝴蝶仙子</t>
  </si>
  <si>
    <t>【旧号坏账】 力宠</t>
  </si>
  <si>
    <t>力宠吸血鬼</t>
  </si>
  <si>
    <t>力宠龙鲤</t>
  </si>
  <si>
    <t>购入法宠</t>
  </si>
  <si>
    <t>【旧号坏账】 法宠（后续卖出）</t>
  </si>
  <si>
    <t>79龙鲤</t>
  </si>
  <si>
    <t>79龙鲤 2</t>
  </si>
  <si>
    <t>须弥画魂高魔心带套0903</t>
  </si>
  <si>
    <t>【旧号坏账】 法宠</t>
  </si>
  <si>
    <t>龙鲤0908</t>
  </si>
  <si>
    <t>三技能女娲0908</t>
  </si>
  <si>
    <t>雷鸟人须弥 9月20</t>
  </si>
  <si>
    <t>【旧号坏账】 须弥法宠</t>
  </si>
  <si>
    <t>雷鸟人须弥 9月11</t>
  </si>
  <si>
    <t>主号武器</t>
  </si>
  <si>
    <t>【旧号坏账】 主力角色装备</t>
  </si>
  <si>
    <t>主号鞋子</t>
  </si>
  <si>
    <t>4 角色 100 级国标武器</t>
  </si>
  <si>
    <t>【旧号坏账】 其余小号武器</t>
  </si>
  <si>
    <t>后排灵饰109</t>
  </si>
  <si>
    <t>【旧号坏账】 装备采购</t>
  </si>
  <si>
    <t>风伯套装48</t>
  </si>
  <si>
    <t>吸血鬼鞋子（套牢）</t>
  </si>
  <si>
    <t>国标武器</t>
  </si>
  <si>
    <t>历史支出合计</t>
  </si>
  <si>
    <t>二、历史变现收入明细（已回笼）</t>
  </si>
  <si>
    <t>宠物变现</t>
  </si>
  <si>
    <t>出售法宠回款</t>
  </si>
  <si>
    <t>【旧号变现·归档】 采购法宠卖出收入</t>
  </si>
  <si>
    <t>龙鲤</t>
  </si>
  <si>
    <t>【旧号变现·归档】 卖出</t>
  </si>
  <si>
    <t>吸血鬼</t>
  </si>
  <si>
    <t>3JN胚子</t>
  </si>
  <si>
    <t>画魂  8月29</t>
  </si>
  <si>
    <t>3JN胚子  8月10</t>
  </si>
  <si>
    <t>龙鲤 胚子*2</t>
  </si>
  <si>
    <t>蝴蝶仙子*2</t>
  </si>
  <si>
    <t>地摊律法女娲  9月12</t>
  </si>
  <si>
    <t>地摊灵符女娲法  9月15</t>
  </si>
  <si>
    <t>物品 80环装</t>
  </si>
  <si>
    <t>卖古代瑞兽胚子 9月23</t>
  </si>
  <si>
    <t>配饰9月24</t>
  </si>
  <si>
    <t>卖古代瑞兽胚子 9月25</t>
  </si>
  <si>
    <t>第一坨菜售卖</t>
  </si>
  <si>
    <t>【旧号变现·归档】 游戏产出物资</t>
  </si>
  <si>
    <t>小菜 1</t>
  </si>
  <si>
    <t>【旧号变现·归档】 新增变现</t>
  </si>
  <si>
    <t>小菜 2</t>
  </si>
  <si>
    <t>小菜 3</t>
  </si>
  <si>
    <t>小菜4</t>
  </si>
  <si>
    <t>小菜5</t>
  </si>
  <si>
    <t>小菜6</t>
  </si>
  <si>
    <t>小菜7</t>
  </si>
  <si>
    <t>小菜8   8月29</t>
  </si>
  <si>
    <t>小菜    8月11</t>
  </si>
  <si>
    <t>8月20</t>
  </si>
  <si>
    <t>8月23</t>
  </si>
  <si>
    <t>8月13</t>
  </si>
  <si>
    <t>小菜9 8月27</t>
  </si>
  <si>
    <t>出菜1坨 9月11</t>
  </si>
  <si>
    <t>出菜400W 9月17</t>
  </si>
  <si>
    <t>出菜3000W 9月17</t>
  </si>
  <si>
    <t>出菜半坨 9月11</t>
  </si>
  <si>
    <t>出一坨小菜 9月21</t>
  </si>
  <si>
    <t>小菜 0924</t>
  </si>
  <si>
    <t>历史变现合计</t>
  </si>
  <si>
    <t>📌 说明：本表仅作归档备查；页面汇总只读「支出明细表」「游戏变现收入明细表」。旧资产后续卖出请记入当前变现表，备注标【旧号】以便区分。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</si>
</sst>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10"/>
      <color rgb="FF666666"/>
      <name val="微软雅黑"/>
      <charset val="134"/>
    </font>
    <font>
      <b/>
      <sz val="11"/>
      <name val="微软雅黑"/>
      <charset val="134"/>
    </font>
    <font>
      <b/>
      <sz val="12"/>
      <color rgb="FFC0000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C65911"/>
      <name val="微软雅黑"/>
      <charset val="134"/>
    </font>
    <font>
      <b/>
      <sz val="10"/>
      <name val="微软雅黑"/>
      <charset val="134"/>
    </font>
    <font>
      <b/>
      <sz val="12"/>
      <color rgb="FF548235"/>
      <name val="微软雅黑"/>
      <charset val="134"/>
    </font>
    <font>
      <b/>
      <sz val="11"/>
      <color rgb="FFC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7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8" borderId="4">
      <alignment vertical="center"/>
    </xf>
    <xf numFmtId="0" fontId="20" fillId="9" borderId="5">
      <alignment vertical="center"/>
    </xf>
    <xf numFmtId="0" fontId="21" fillId="9" borderId="4">
      <alignment vertical="center"/>
    </xf>
    <xf numFmtId="0" fontId="22" fillId="10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4" fontId="0" fillId="2" borderId="0" xfId="0" applyNumberFormat="1" applyFill="1"/>
    <xf numFmtId="0" fontId="4" fillId="0" borderId="0" xfId="0" applyFont="1"/>
    <xf numFmtId="0" fontId="5" fillId="3" borderId="0" xfId="0" applyFont="1" applyFill="1" applyAlignment="1">
      <alignment horizontal="center"/>
    </xf>
    <xf numFmtId="0" fontId="6" fillId="4" borderId="0" xfId="0" applyFont="1" applyFill="1"/>
    <xf numFmtId="0" fontId="0" fillId="4" borderId="0" xfId="0" applyFill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4" fontId="3" fillId="0" borderId="0" xfId="0" applyNumberFormat="1" applyFont="1"/>
    <xf numFmtId="0" fontId="8" fillId="0" borderId="0" xfId="0" applyFont="1"/>
    <xf numFmtId="0" fontId="3" fillId="5" borderId="0" xfId="0" applyFont="1" applyFill="1"/>
    <xf numFmtId="4" fontId="3" fillId="5" borderId="0" xfId="0" applyNumberFormat="1" applyFont="1" applyFill="1"/>
    <xf numFmtId="0" fontId="0" fillId="5" borderId="0" xfId="0" applyFill="1"/>
    <xf numFmtId="0" fontId="9" fillId="0" borderId="0" xfId="0" applyFont="1"/>
    <xf numFmtId="0" fontId="0" fillId="6" borderId="0" xfId="0" applyFill="1"/>
    <xf numFmtId="4" fontId="0" fillId="6" borderId="0" xfId="0" applyNumberFormat="1" applyFill="1"/>
    <xf numFmtId="0" fontId="10" fillId="0" borderId="0" xfId="0" applyFont="1"/>
    <xf numFmtId="4" fontId="1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topLeftCell="A9" workbookViewId="0">
      <selection activeCell="L25" sqref="L25"/>
    </sheetView>
  </sheetViews>
  <sheetFormatPr defaultColWidth="9" defaultRowHeight="13.5" outlineLevelCol="3"/>
  <cols>
    <col min="1" max="1" width="18" customWidth="1"/>
    <col min="2" max="2" width="24" customWidth="1"/>
    <col min="3" max="3" width="12" customWidth="1"/>
    <col min="4" max="4" width="28" customWidth="1"/>
  </cols>
  <sheetData>
    <row r="1" ht="21" customHeight="1" spans="1:4">
      <c r="A1" s="1" t="s">
        <v>0</v>
      </c>
    </row>
    <row r="2" ht="15" customHeight="1" spans="1:4">
      <c r="A2" s="7" t="s">
        <v>1</v>
      </c>
      <c r="B2" s="7" t="s">
        <v>2</v>
      </c>
      <c r="C2" s="7" t="s">
        <v>3</v>
      </c>
      <c r="D2" s="7" t="s">
        <v>4</v>
      </c>
    </row>
    <row r="3" ht="15" customHeight="1" spans="1:4">
      <c r="A3" s="8" t="s">
        <v>5</v>
      </c>
      <c r="B3" s="9"/>
      <c r="C3" s="9"/>
      <c r="D3" s="9"/>
    </row>
    <row r="4" spans="1:4">
      <c r="A4" t="s">
        <v>6</v>
      </c>
      <c r="B4" t="s">
        <v>7</v>
      </c>
      <c r="C4" s="10">
        <v>2600</v>
      </c>
      <c r="D4" t="s">
        <v>8</v>
      </c>
    </row>
    <row r="5" spans="1:4">
      <c r="A5" t="s">
        <v>6</v>
      </c>
      <c r="B5" t="s">
        <v>9</v>
      </c>
      <c r="C5" s="10">
        <v>2600</v>
      </c>
      <c r="D5" t="s">
        <v>8</v>
      </c>
    </row>
    <row r="6" spans="1:4">
      <c r="A6" t="s">
        <v>6</v>
      </c>
      <c r="B6" t="s">
        <v>10</v>
      </c>
      <c r="C6" s="10">
        <v>2600</v>
      </c>
      <c r="D6" t="s">
        <v>8</v>
      </c>
    </row>
    <row r="7" spans="1:4">
      <c r="A7" t="s">
        <v>6</v>
      </c>
      <c r="B7" t="s">
        <v>11</v>
      </c>
      <c r="C7" s="10">
        <v>2600</v>
      </c>
      <c r="D7" t="s">
        <v>8</v>
      </c>
    </row>
    <row r="8" spans="1:4">
      <c r="A8" t="s">
        <v>6</v>
      </c>
      <c r="B8" t="s">
        <v>12</v>
      </c>
      <c r="C8" s="10">
        <v>2600</v>
      </c>
      <c r="D8" t="s">
        <v>8</v>
      </c>
    </row>
    <row r="9" ht="16.5" customHeight="1" spans="1:4">
      <c r="A9" t="s">
        <v>6</v>
      </c>
      <c r="B9" s="11" t="s">
        <v>13</v>
      </c>
      <c r="C9" s="12">
        <v>100</v>
      </c>
      <c r="D9" t="s">
        <v>14</v>
      </c>
    </row>
    <row r="10" ht="16.5" customHeight="1" spans="1:4">
      <c r="A10" t="s">
        <v>15</v>
      </c>
      <c r="B10" t="s">
        <v>7</v>
      </c>
      <c r="C10" s="12">
        <v>460</v>
      </c>
      <c r="D10" t="s">
        <v>14</v>
      </c>
    </row>
    <row r="11" ht="16.5" customHeight="1" spans="1:4">
      <c r="A11" t="s">
        <v>15</v>
      </c>
      <c r="B11" t="s">
        <v>10</v>
      </c>
      <c r="C11" s="12">
        <v>460</v>
      </c>
      <c r="D11" t="s">
        <v>14</v>
      </c>
    </row>
    <row r="12" ht="16.5" customHeight="1" spans="1:4">
      <c r="A12" t="s">
        <v>15</v>
      </c>
      <c r="B12" t="s">
        <v>16</v>
      </c>
      <c r="C12" s="12">
        <v>460</v>
      </c>
      <c r="D12" t="s">
        <v>14</v>
      </c>
    </row>
    <row r="13" ht="16.5" customHeight="1" spans="1:4">
      <c r="A13" t="s">
        <v>15</v>
      </c>
      <c r="B13" t="s">
        <v>16</v>
      </c>
      <c r="C13" s="12">
        <v>460</v>
      </c>
      <c r="D13" t="s">
        <v>14</v>
      </c>
    </row>
    <row r="14" ht="16.5" customHeight="1" spans="1:4">
      <c r="A14" t="s">
        <v>15</v>
      </c>
      <c r="B14" t="s">
        <v>16</v>
      </c>
      <c r="C14" s="12">
        <v>460</v>
      </c>
      <c r="D14" t="s">
        <v>14</v>
      </c>
    </row>
    <row r="15" ht="16.5" customHeight="1" spans="1:4">
      <c r="B15" s="11" t="s">
        <v>17</v>
      </c>
      <c r="C15" s="12">
        <f>SUM(C4:C14)</f>
        <v>15400</v>
      </c>
    </row>
    <row r="17" ht="15" customHeight="1" spans="1:4">
      <c r="A17" s="8" t="s">
        <v>18</v>
      </c>
      <c r="B17" s="9"/>
      <c r="C17" s="9"/>
      <c r="D17" s="9"/>
    </row>
    <row r="18" spans="1:4">
      <c r="A18" t="s">
        <v>19</v>
      </c>
      <c r="B18" t="s">
        <v>20</v>
      </c>
      <c r="C18" s="10">
        <v>20</v>
      </c>
    </row>
    <row r="19" spans="1:4">
      <c r="A19" t="s">
        <v>19</v>
      </c>
      <c r="B19" t="s">
        <v>21</v>
      </c>
      <c r="C19" s="10">
        <v>300</v>
      </c>
    </row>
    <row r="20" ht="16.5" customHeight="1" spans="1:4">
      <c r="A20" t="s">
        <v>19</v>
      </c>
      <c r="B20" s="21" t="s">
        <v>22</v>
      </c>
      <c r="C20" s="22">
        <v>150</v>
      </c>
    </row>
    <row r="21" ht="16.5" customHeight="1" spans="1:4">
      <c r="A21" t="s">
        <v>23</v>
      </c>
      <c r="B21" s="11" t="s">
        <v>24</v>
      </c>
      <c r="C21" s="12">
        <v>100</v>
      </c>
    </row>
    <row r="22" ht="16.5" customHeight="1" spans="1:4">
      <c r="A22" t="s">
        <v>25</v>
      </c>
      <c r="B22" s="11" t="s">
        <v>26</v>
      </c>
      <c r="C22" s="12">
        <v>100</v>
      </c>
    </row>
    <row r="23" ht="16.5" customHeight="1" spans="1:4">
      <c r="B23" s="11" t="s">
        <v>27</v>
      </c>
      <c r="C23" s="12">
        <f>SUM(C18:C22)</f>
        <v>670</v>
      </c>
    </row>
    <row r="25" ht="15" customHeight="1" spans="1:4">
      <c r="A25" s="8" t="s">
        <v>28</v>
      </c>
      <c r="B25" s="9"/>
      <c r="C25" s="9"/>
      <c r="D25" s="9"/>
    </row>
    <row r="26" spans="1:4">
      <c r="A26" s="19" t="s">
        <v>29</v>
      </c>
      <c r="B26" s="19"/>
      <c r="C26" s="19">
        <v>50</v>
      </c>
      <c r="D26" s="19"/>
    </row>
    <row r="27" spans="1:4">
      <c r="A27" s="19"/>
      <c r="B27" s="19"/>
      <c r="C27" s="19"/>
      <c r="D27" s="19"/>
    </row>
    <row r="28" spans="1:4">
      <c r="A28" s="19"/>
      <c r="B28" s="19"/>
      <c r="C28" s="19"/>
      <c r="D28" s="19"/>
    </row>
    <row r="29" spans="1:4">
      <c r="A29" s="19"/>
      <c r="B29" s="19"/>
      <c r="C29" s="19"/>
      <c r="D29" s="19"/>
    </row>
    <row r="30" spans="1:4">
      <c r="A30" s="19"/>
      <c r="B30" s="19"/>
      <c r="C30" s="19"/>
      <c r="D30" s="19"/>
    </row>
    <row r="31" ht="16.5" customHeight="1" spans="1:4">
      <c r="B31" s="11" t="s">
        <v>30</v>
      </c>
      <c r="C31" s="12">
        <f>SUM(C26:C30)</f>
        <v>50</v>
      </c>
    </row>
    <row r="33" ht="15" customHeight="1" spans="1:4">
      <c r="A33" s="8" t="s">
        <v>31</v>
      </c>
      <c r="B33" s="9"/>
      <c r="C33" s="9"/>
      <c r="D33" s="9"/>
    </row>
    <row r="34" spans="1:4">
      <c r="A34" s="19"/>
      <c r="B34" s="19"/>
      <c r="C34" s="19"/>
      <c r="D34" s="19"/>
    </row>
    <row r="35" spans="1:4">
      <c r="A35" s="19"/>
      <c r="B35" s="19"/>
      <c r="C35" s="19"/>
      <c r="D35" s="19"/>
    </row>
    <row r="36" spans="1:4">
      <c r="A36" s="19"/>
      <c r="B36" s="19"/>
      <c r="C36" s="19"/>
      <c r="D36" s="19"/>
    </row>
    <row r="37" spans="1:4">
      <c r="A37" s="19"/>
      <c r="B37" s="19"/>
      <c r="C37" s="19"/>
      <c r="D37" s="19"/>
    </row>
    <row r="38" spans="1:4">
      <c r="A38" s="19"/>
      <c r="B38" s="19"/>
      <c r="C38" s="19"/>
      <c r="D38" s="19"/>
    </row>
    <row r="39" ht="16.5" customHeight="1" spans="1:4">
      <c r="B39" s="11" t="s">
        <v>32</v>
      </c>
      <c r="C39" s="12">
        <f>SUM(C34:C38)</f>
        <v>0</v>
      </c>
    </row>
    <row r="41" ht="15" customHeight="1" spans="1:4">
      <c r="A41" t="s">
        <v>33</v>
      </c>
      <c r="B41" s="3" t="s">
        <v>34</v>
      </c>
      <c r="C41" s="16">
        <f>C15+C23+C31+C39</f>
        <v>16120</v>
      </c>
    </row>
    <row r="43" spans="1:4">
      <c r="A43" t="s">
        <v>35</v>
      </c>
    </row>
  </sheetData>
  <mergeCells count="2">
    <mergeCell ref="A1:D1"/>
    <mergeCell ref="A43:D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E38" sqref="E38"/>
    </sheetView>
  </sheetViews>
  <sheetFormatPr defaultColWidth="9" defaultRowHeight="13.5" outlineLevelCol="3"/>
  <cols>
    <col min="1" max="1" width="18" customWidth="1"/>
    <col min="2" max="2" width="42.125" customWidth="1"/>
    <col min="3" max="3" width="12" customWidth="1"/>
    <col min="4" max="4" width="28" customWidth="1"/>
  </cols>
  <sheetData>
    <row r="1" ht="21" customHeight="1" spans="1:4">
      <c r="A1" s="1" t="s">
        <v>36</v>
      </c>
    </row>
    <row r="2" ht="15" customHeight="1" spans="1:4">
      <c r="A2" s="7" t="s">
        <v>37</v>
      </c>
      <c r="B2" s="7" t="s">
        <v>38</v>
      </c>
      <c r="C2" s="7" t="s">
        <v>3</v>
      </c>
      <c r="D2" s="7" t="s">
        <v>4</v>
      </c>
    </row>
    <row r="3" ht="15" customHeight="1" spans="1:4">
      <c r="A3" s="8" t="s">
        <v>39</v>
      </c>
      <c r="B3" s="9"/>
      <c r="C3" s="9"/>
      <c r="D3" s="9"/>
    </row>
    <row r="4" spans="1:4">
      <c r="A4" s="19" t="s">
        <v>40</v>
      </c>
      <c r="B4" s="19" t="s">
        <v>41</v>
      </c>
      <c r="C4" s="20">
        <v>12.25</v>
      </c>
      <c r="D4" s="19"/>
    </row>
    <row r="5" spans="1:4">
      <c r="A5" s="19"/>
      <c r="B5" s="19"/>
      <c r="C5" s="19"/>
      <c r="D5" s="19"/>
    </row>
    <row r="6" spans="1:4">
      <c r="A6" s="19"/>
      <c r="B6" s="19"/>
      <c r="C6" s="19"/>
      <c r="D6" s="19"/>
    </row>
    <row r="7" spans="1:4">
      <c r="A7" s="19"/>
      <c r="B7" s="19"/>
      <c r="C7" s="19"/>
      <c r="D7" s="19"/>
    </row>
    <row r="8" spans="1:4">
      <c r="A8" s="19"/>
      <c r="B8" s="19"/>
      <c r="C8" s="19"/>
      <c r="D8" s="19"/>
    </row>
    <row r="9" spans="1:4">
      <c r="A9" s="19"/>
      <c r="B9" s="19"/>
      <c r="C9" s="19"/>
      <c r="D9" s="19"/>
    </row>
    <row r="10" spans="1:4">
      <c r="A10" s="19"/>
      <c r="B10" s="19"/>
      <c r="C10" s="19"/>
      <c r="D10" s="19"/>
    </row>
    <row r="11" spans="1:4">
      <c r="A11" s="19"/>
      <c r="B11" s="19"/>
      <c r="C11" s="19"/>
      <c r="D11" s="19"/>
    </row>
    <row r="12" ht="16.5" customHeight="1" spans="1:4">
      <c r="B12" s="11" t="s">
        <v>42</v>
      </c>
      <c r="C12" s="12">
        <f>SUM(C4:C11)</f>
        <v>12.25</v>
      </c>
    </row>
    <row r="14" ht="15" customHeight="1" spans="1:4">
      <c r="A14" s="8" t="s">
        <v>43</v>
      </c>
      <c r="B14" s="9"/>
      <c r="C14" s="9"/>
      <c r="D14" s="9"/>
    </row>
    <row r="15" spans="1:4">
      <c r="A15" s="19" t="s">
        <v>44</v>
      </c>
      <c r="B15" s="19" t="s">
        <v>45</v>
      </c>
      <c r="C15" s="20">
        <v>103</v>
      </c>
      <c r="D15" s="19"/>
    </row>
    <row r="16" spans="1:4">
      <c r="A16" s="19" t="s">
        <v>44</v>
      </c>
      <c r="B16" s="19" t="s">
        <v>46</v>
      </c>
      <c r="C16" s="20">
        <v>12</v>
      </c>
      <c r="D16" s="19"/>
    </row>
    <row r="17" spans="1:4">
      <c r="A17" s="19" t="s">
        <v>44</v>
      </c>
      <c r="B17" s="19" t="s">
        <v>47</v>
      </c>
      <c r="C17" s="20">
        <v>193</v>
      </c>
      <c r="D17" s="19"/>
    </row>
    <row r="18" spans="1:4">
      <c r="A18" s="19" t="s">
        <v>44</v>
      </c>
      <c r="B18" s="19" t="s">
        <v>48</v>
      </c>
      <c r="C18" s="20">
        <v>194</v>
      </c>
      <c r="D18" s="19"/>
    </row>
    <row r="19" spans="1:4">
      <c r="A19" s="19" t="s">
        <v>44</v>
      </c>
      <c r="B19" s="19" t="s">
        <v>49</v>
      </c>
      <c r="C19" s="20">
        <v>27</v>
      </c>
      <c r="D19" s="19" t="s">
        <v>50</v>
      </c>
    </row>
    <row r="20" spans="1:4">
      <c r="A20" s="19" t="s">
        <v>44</v>
      </c>
      <c r="B20" s="19" t="s">
        <v>51</v>
      </c>
      <c r="C20" s="19">
        <v>160</v>
      </c>
      <c r="D20" s="19" t="s">
        <v>52</v>
      </c>
    </row>
    <row r="21" spans="1:4">
      <c r="A21" s="19" t="s">
        <v>44</v>
      </c>
      <c r="B21" s="19" t="s">
        <v>53</v>
      </c>
      <c r="C21" s="19">
        <v>198</v>
      </c>
      <c r="D21" s="19"/>
    </row>
    <row r="22" spans="1:4">
      <c r="A22" s="19"/>
      <c r="B22" s="19"/>
      <c r="C22" s="19"/>
      <c r="D22" s="19"/>
    </row>
    <row r="23" ht="16.5" customHeight="1" spans="1:4">
      <c r="B23" s="11" t="s">
        <v>54</v>
      </c>
      <c r="C23" s="12">
        <f>SUM(C15:C22)</f>
        <v>887</v>
      </c>
    </row>
    <row r="25" ht="15" customHeight="1" spans="1:4">
      <c r="A25" s="8" t="s">
        <v>55</v>
      </c>
      <c r="B25" s="9"/>
      <c r="C25" s="9"/>
      <c r="D25" s="9"/>
    </row>
    <row r="26" spans="1:4">
      <c r="A26" s="19" t="s">
        <v>56</v>
      </c>
      <c r="B26" s="19" t="s">
        <v>57</v>
      </c>
      <c r="C26" s="20">
        <v>1850</v>
      </c>
      <c r="D26" s="19"/>
    </row>
    <row r="27" spans="1:4">
      <c r="A27" s="19" t="s">
        <v>56</v>
      </c>
      <c r="B27" s="19" t="s">
        <v>58</v>
      </c>
      <c r="C27" s="20">
        <v>313</v>
      </c>
      <c r="D27" s="19"/>
    </row>
    <row r="28" spans="1:4">
      <c r="A28" s="19" t="s">
        <v>56</v>
      </c>
      <c r="B28" s="19" t="s">
        <v>59</v>
      </c>
      <c r="C28" s="19">
        <v>843</v>
      </c>
      <c r="D28" s="19"/>
    </row>
    <row r="29" spans="1:4">
      <c r="A29" s="19" t="s">
        <v>56</v>
      </c>
      <c r="B29" s="19" t="s">
        <v>60</v>
      </c>
      <c r="C29" s="19">
        <v>247</v>
      </c>
      <c r="D29" s="19"/>
    </row>
    <row r="30" spans="1:4">
      <c r="A30" s="19" t="s">
        <v>56</v>
      </c>
      <c r="B30" s="19" t="s">
        <v>61</v>
      </c>
      <c r="C30" s="19">
        <v>360</v>
      </c>
      <c r="D30" s="19"/>
    </row>
    <row r="31" spans="1:4">
      <c r="A31" s="19" t="s">
        <v>56</v>
      </c>
      <c r="B31" s="19" t="s">
        <v>62</v>
      </c>
      <c r="C31" s="19">
        <v>360</v>
      </c>
      <c r="D31" s="19"/>
    </row>
    <row r="32" spans="1:4">
      <c r="A32" s="19" t="s">
        <v>56</v>
      </c>
      <c r="B32" s="19" t="s">
        <v>63</v>
      </c>
      <c r="C32" s="19">
        <v>8.5</v>
      </c>
      <c r="D32" s="19"/>
    </row>
    <row r="33" spans="1:4">
      <c r="A33" s="19"/>
      <c r="B33" s="19"/>
      <c r="C33" s="19"/>
      <c r="D33" s="19"/>
    </row>
    <row r="34" spans="1:4">
      <c r="A34" s="19"/>
      <c r="B34" s="19"/>
      <c r="C34" s="19"/>
      <c r="D34" s="19"/>
    </row>
    <row r="35" spans="1:4">
      <c r="A35" s="19"/>
      <c r="B35" s="19"/>
      <c r="C35" s="19"/>
      <c r="D35" s="19"/>
    </row>
    <row r="36" ht="16.5" customHeight="1" spans="1:4">
      <c r="B36" s="11" t="s">
        <v>64</v>
      </c>
      <c r="C36" s="12">
        <f>SUM(C26:C35)</f>
        <v>3981.5</v>
      </c>
    </row>
    <row r="38" ht="15" customHeight="1" spans="1:4">
      <c r="A38" t="s">
        <v>56</v>
      </c>
      <c r="B38" s="3" t="s">
        <v>65</v>
      </c>
      <c r="C38" s="16">
        <f>C12+C23+C36</f>
        <v>4880.75</v>
      </c>
    </row>
    <row r="40" spans="1:4">
      <c r="A40" t="s">
        <v>66</v>
      </c>
    </row>
  </sheetData>
  <mergeCells count="2">
    <mergeCell ref="A1:D1"/>
    <mergeCell ref="A40:D4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26" sqref="C26"/>
    </sheetView>
  </sheetViews>
  <sheetFormatPr defaultColWidth="9" defaultRowHeight="13.5" outlineLevelCol="2"/>
  <cols>
    <col min="1" max="1" width="28" customWidth="1"/>
    <col min="2" max="2" width="14" customWidth="1"/>
    <col min="3" max="3" width="48" customWidth="1"/>
  </cols>
  <sheetData>
    <row r="1" ht="21" customHeight="1" spans="1:3">
      <c r="A1" s="1" t="s">
        <v>67</v>
      </c>
    </row>
    <row r="2" ht="15" customHeight="1" spans="1:3">
      <c r="A2" s="7" t="s">
        <v>68</v>
      </c>
      <c r="B2" s="7" t="s">
        <v>3</v>
      </c>
      <c r="C2" s="7" t="s">
        <v>69</v>
      </c>
    </row>
    <row r="3" spans="1:3">
      <c r="A3" t="s">
        <v>70</v>
      </c>
      <c r="B3" s="10">
        <f>支出明细表!C41</f>
        <v>16120</v>
      </c>
      <c r="C3" t="s">
        <v>71</v>
      </c>
    </row>
    <row r="4" spans="1:3">
      <c r="A4" t="s">
        <v>72</v>
      </c>
      <c r="B4" s="10">
        <f>游戏变现收入明细表!C23</f>
        <v>887</v>
      </c>
      <c r="C4" t="s">
        <v>73</v>
      </c>
    </row>
    <row r="5" ht="15" customHeight="1" spans="1:3">
      <c r="A5" s="15" t="s">
        <v>74</v>
      </c>
      <c r="B5" s="16">
        <f>B3-B4</f>
        <v>15233</v>
      </c>
      <c r="C5" s="17" t="s">
        <v>75</v>
      </c>
    </row>
    <row r="7" ht="15" customHeight="1" spans="1:3">
      <c r="A7" s="18" t="s">
        <v>76</v>
      </c>
    </row>
    <row r="8" spans="1:3">
      <c r="A8" s="4" t="s">
        <v>77</v>
      </c>
      <c r="B8" s="5">
        <v>4000.69</v>
      </c>
      <c r="C8" s="4" t="s">
        <v>78</v>
      </c>
    </row>
    <row r="9" ht="16.5" spans="1:3">
      <c r="A9" t="s">
        <v>79</v>
      </c>
      <c r="B9" s="12">
        <f>游戏变现收入明细表!C36</f>
        <v>3981.5</v>
      </c>
    </row>
    <row r="10" spans="1:3">
      <c r="A10" t="s">
        <v>80</v>
      </c>
      <c r="B10" s="10">
        <f>B8-B9</f>
        <v>19.1900000000001</v>
      </c>
    </row>
    <row r="11" ht="15" customHeight="1" spans="1:3">
      <c r="A11" s="3" t="s">
        <v>81</v>
      </c>
    </row>
    <row r="12" spans="1:3">
      <c r="A12" t="s">
        <v>82</v>
      </c>
    </row>
    <row r="13" spans="1:3">
      <c r="A13" t="s">
        <v>83</v>
      </c>
    </row>
    <row r="14" spans="1:3">
      <c r="A14" t="s">
        <v>84</v>
      </c>
    </row>
    <row r="15" spans="1:3">
      <c r="A15" t="s">
        <v>85</v>
      </c>
    </row>
  </sheetData>
  <mergeCells count="2">
    <mergeCell ref="A1:C1"/>
    <mergeCell ref="A7:C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"/>
  <sheetViews>
    <sheetView workbookViewId="0">
      <selection activeCell="A1" sqref="A1:D1"/>
    </sheetView>
  </sheetViews>
  <sheetFormatPr defaultColWidth="9" defaultRowHeight="13.5" outlineLevelCol="3"/>
  <cols>
    <col min="1" max="1" width="22" customWidth="1"/>
    <col min="2" max="2" width="28" customWidth="1"/>
    <col min="3" max="3" width="14" customWidth="1"/>
    <col min="4" max="4" width="36" customWidth="1"/>
  </cols>
  <sheetData>
    <row r="1" ht="21" customHeight="1" spans="1:4">
      <c r="A1" s="1" t="s">
        <v>86</v>
      </c>
    </row>
    <row r="2" ht="16.5" customHeight="1" spans="1:4">
      <c r="A2" s="2" t="s">
        <v>87</v>
      </c>
    </row>
    <row r="4" ht="15" customHeight="1" spans="1:4">
      <c r="A4" s="3" t="s">
        <v>88</v>
      </c>
    </row>
    <row r="5" spans="1:4">
      <c r="A5" s="4" t="s">
        <v>89</v>
      </c>
      <c r="B5" s="5">
        <v>6455.7</v>
      </c>
      <c r="C5" s="4" t="s">
        <v>90</v>
      </c>
    </row>
    <row r="6" spans="1:4">
      <c r="A6" s="4" t="s">
        <v>91</v>
      </c>
      <c r="B6" s="5">
        <v>2455.01</v>
      </c>
      <c r="C6" s="4" t="s">
        <v>92</v>
      </c>
    </row>
    <row r="7" spans="1:4">
      <c r="A7" s="4" t="s">
        <v>93</v>
      </c>
      <c r="B7" s="5">
        <v>4000.69</v>
      </c>
      <c r="C7" s="4" t="s">
        <v>94</v>
      </c>
    </row>
    <row r="9" ht="18" customHeight="1" spans="1:4">
      <c r="A9" s="6" t="s">
        <v>95</v>
      </c>
    </row>
    <row r="10" ht="15" customHeight="1" spans="1:4">
      <c r="A10" s="7" t="s">
        <v>1</v>
      </c>
      <c r="B10" s="7" t="s">
        <v>2</v>
      </c>
      <c r="C10" s="7" t="s">
        <v>3</v>
      </c>
      <c r="D10" s="7" t="s">
        <v>4</v>
      </c>
    </row>
    <row r="11" ht="15" customHeight="1" spans="1:4">
      <c r="A11" s="8" t="s">
        <v>5</v>
      </c>
      <c r="B11" s="9"/>
      <c r="C11" s="9"/>
      <c r="D11" s="9"/>
    </row>
    <row r="12" spans="1:4">
      <c r="A12" t="s">
        <v>6</v>
      </c>
      <c r="B12" t="s">
        <v>96</v>
      </c>
      <c r="C12" s="10">
        <v>391.9</v>
      </c>
      <c r="D12" t="s">
        <v>97</v>
      </c>
    </row>
    <row r="13" spans="1:4">
      <c r="A13" t="s">
        <v>6</v>
      </c>
      <c r="B13" t="s">
        <v>98</v>
      </c>
      <c r="C13" s="10">
        <v>400</v>
      </c>
      <c r="D13" t="s">
        <v>99</v>
      </c>
    </row>
    <row r="14" spans="1:4">
      <c r="A14" t="s">
        <v>6</v>
      </c>
      <c r="B14" t="s">
        <v>100</v>
      </c>
      <c r="C14" s="10">
        <v>519</v>
      </c>
      <c r="D14" t="s">
        <v>97</v>
      </c>
    </row>
    <row r="15" spans="1:4">
      <c r="A15" t="s">
        <v>6</v>
      </c>
      <c r="B15" t="s">
        <v>101</v>
      </c>
      <c r="C15" s="10">
        <v>500</v>
      </c>
      <c r="D15" t="s">
        <v>97</v>
      </c>
    </row>
    <row r="16" spans="1:4">
      <c r="A16" t="s">
        <v>6</v>
      </c>
      <c r="B16" t="s">
        <v>102</v>
      </c>
      <c r="C16" s="10">
        <v>866</v>
      </c>
      <c r="D16" t="s">
        <v>103</v>
      </c>
    </row>
    <row r="17" spans="1:4">
      <c r="A17" t="s">
        <v>6</v>
      </c>
      <c r="B17" t="s">
        <v>104</v>
      </c>
      <c r="C17" s="10">
        <v>460</v>
      </c>
      <c r="D17" t="s">
        <v>105</v>
      </c>
    </row>
    <row r="18" ht="16.5" customHeight="1" spans="1:4">
      <c r="B18" s="11" t="s">
        <v>17</v>
      </c>
      <c r="C18" s="12">
        <f>SUM(C12:C17)</f>
        <v>3136.9</v>
      </c>
    </row>
    <row r="20" ht="15" customHeight="1" spans="1:4">
      <c r="A20" s="8" t="s">
        <v>18</v>
      </c>
      <c r="B20" s="9"/>
      <c r="C20" s="9"/>
      <c r="D20" s="9"/>
    </row>
    <row r="21" spans="1:4">
      <c r="A21" t="s">
        <v>19</v>
      </c>
      <c r="B21" t="s">
        <v>106</v>
      </c>
      <c r="C21" s="10">
        <v>30</v>
      </c>
      <c r="D21" t="s">
        <v>107</v>
      </c>
    </row>
    <row r="22" spans="1:4">
      <c r="A22" t="s">
        <v>19</v>
      </c>
      <c r="B22" t="s">
        <v>108</v>
      </c>
      <c r="C22" s="10">
        <v>20</v>
      </c>
      <c r="D22" t="s">
        <v>107</v>
      </c>
    </row>
    <row r="23" spans="1:4">
      <c r="A23" t="s">
        <v>19</v>
      </c>
      <c r="B23" t="s">
        <v>109</v>
      </c>
      <c r="C23" s="10">
        <v>5</v>
      </c>
      <c r="D23" t="s">
        <v>107</v>
      </c>
    </row>
    <row r="24" spans="1:4">
      <c r="A24" t="s">
        <v>19</v>
      </c>
      <c r="B24" t="s">
        <v>109</v>
      </c>
      <c r="C24" s="10">
        <v>5</v>
      </c>
      <c r="D24" t="s">
        <v>107</v>
      </c>
    </row>
    <row r="25" spans="1:4">
      <c r="A25" t="s">
        <v>19</v>
      </c>
      <c r="B25" t="s">
        <v>109</v>
      </c>
      <c r="C25" s="10">
        <v>5</v>
      </c>
      <c r="D25" t="s">
        <v>107</v>
      </c>
    </row>
    <row r="26" spans="1:4">
      <c r="A26" t="s">
        <v>19</v>
      </c>
      <c r="B26" t="s">
        <v>110</v>
      </c>
      <c r="C26" s="10">
        <v>10</v>
      </c>
      <c r="D26" t="s">
        <v>111</v>
      </c>
    </row>
    <row r="27" spans="1:4">
      <c r="A27" t="s">
        <v>19</v>
      </c>
      <c r="B27" t="s">
        <v>112</v>
      </c>
      <c r="C27" s="10">
        <v>25</v>
      </c>
      <c r="D27" t="s">
        <v>113</v>
      </c>
    </row>
    <row r="28" spans="1:4">
      <c r="A28" t="s">
        <v>19</v>
      </c>
      <c r="B28" t="s">
        <v>114</v>
      </c>
      <c r="C28" s="10">
        <v>300</v>
      </c>
      <c r="D28" t="s">
        <v>115</v>
      </c>
    </row>
    <row r="29" spans="1:4">
      <c r="A29" t="s">
        <v>19</v>
      </c>
      <c r="B29" t="s">
        <v>116</v>
      </c>
      <c r="C29" s="10">
        <v>125</v>
      </c>
      <c r="D29" t="s">
        <v>117</v>
      </c>
    </row>
    <row r="30" spans="1:4">
      <c r="A30" t="s">
        <v>19</v>
      </c>
      <c r="B30" t="s">
        <v>118</v>
      </c>
      <c r="C30" s="10">
        <v>15</v>
      </c>
      <c r="D30" t="s">
        <v>119</v>
      </c>
    </row>
    <row r="31" spans="1:4">
      <c r="A31" t="s">
        <v>19</v>
      </c>
      <c r="B31" t="s">
        <v>120</v>
      </c>
      <c r="C31" s="10">
        <v>1.05</v>
      </c>
      <c r="D31" t="s">
        <v>119</v>
      </c>
    </row>
    <row r="32" spans="1:4">
      <c r="A32" t="s">
        <v>19</v>
      </c>
      <c r="B32" t="s">
        <v>121</v>
      </c>
      <c r="C32" s="10">
        <v>25</v>
      </c>
      <c r="D32" t="s">
        <v>122</v>
      </c>
    </row>
    <row r="33" spans="1:4">
      <c r="A33" t="s">
        <v>19</v>
      </c>
      <c r="B33" t="s">
        <v>123</v>
      </c>
      <c r="C33" s="10">
        <v>20</v>
      </c>
      <c r="D33" t="s">
        <v>119</v>
      </c>
    </row>
    <row r="34" spans="1:4">
      <c r="A34" t="s">
        <v>19</v>
      </c>
      <c r="B34" t="s">
        <v>124</v>
      </c>
      <c r="C34" s="10">
        <v>30</v>
      </c>
      <c r="D34" t="s">
        <v>119</v>
      </c>
    </row>
    <row r="35" spans="1:4">
      <c r="A35" t="s">
        <v>19</v>
      </c>
      <c r="B35" t="s">
        <v>125</v>
      </c>
      <c r="C35" s="10">
        <v>290</v>
      </c>
      <c r="D35" t="s">
        <v>119</v>
      </c>
    </row>
    <row r="36" spans="1:4">
      <c r="A36" t="s">
        <v>19</v>
      </c>
      <c r="B36" t="s">
        <v>126</v>
      </c>
      <c r="C36" s="10">
        <v>50</v>
      </c>
      <c r="D36" t="s">
        <v>119</v>
      </c>
    </row>
    <row r="37" spans="1:4">
      <c r="A37" t="s">
        <v>19</v>
      </c>
      <c r="B37" t="s">
        <v>127</v>
      </c>
      <c r="C37" s="10">
        <v>25</v>
      </c>
      <c r="D37" t="s">
        <v>119</v>
      </c>
    </row>
    <row r="38" spans="1:4">
      <c r="A38" t="s">
        <v>19</v>
      </c>
      <c r="B38" t="s">
        <v>128</v>
      </c>
      <c r="C38" s="10">
        <v>20</v>
      </c>
      <c r="D38" t="s">
        <v>129</v>
      </c>
    </row>
    <row r="39" spans="1:4">
      <c r="A39" t="s">
        <v>19</v>
      </c>
      <c r="B39" t="s">
        <v>130</v>
      </c>
      <c r="C39" s="10">
        <v>25</v>
      </c>
      <c r="D39" t="s">
        <v>119</v>
      </c>
    </row>
    <row r="40" spans="1:4">
      <c r="A40" t="s">
        <v>19</v>
      </c>
      <c r="B40" t="s">
        <v>131</v>
      </c>
      <c r="C40" s="10">
        <v>25</v>
      </c>
      <c r="D40" t="s">
        <v>119</v>
      </c>
    </row>
    <row r="41" ht="16.5" customHeight="1" spans="1:4">
      <c r="B41" s="11" t="s">
        <v>27</v>
      </c>
      <c r="C41" s="12">
        <f>SUM(C21:C40)</f>
        <v>1051.05</v>
      </c>
    </row>
    <row r="43" ht="15" customHeight="1" spans="1:4">
      <c r="A43" s="8" t="s">
        <v>28</v>
      </c>
      <c r="B43" s="9"/>
      <c r="C43" s="9"/>
      <c r="D43" s="9"/>
    </row>
    <row r="44" spans="1:4">
      <c r="A44" t="s">
        <v>132</v>
      </c>
      <c r="B44" t="s">
        <v>133</v>
      </c>
      <c r="C44" s="10">
        <v>128</v>
      </c>
      <c r="D44" t="s">
        <v>134</v>
      </c>
    </row>
    <row r="45" spans="1:4">
      <c r="A45" t="s">
        <v>132</v>
      </c>
      <c r="B45" t="s">
        <v>135</v>
      </c>
      <c r="C45" s="10">
        <v>140</v>
      </c>
      <c r="D45" t="s">
        <v>136</v>
      </c>
    </row>
    <row r="46" spans="1:4">
      <c r="A46" t="s">
        <v>132</v>
      </c>
      <c r="B46" t="s">
        <v>137</v>
      </c>
      <c r="C46" s="10">
        <v>120</v>
      </c>
      <c r="D46" t="s">
        <v>134</v>
      </c>
    </row>
    <row r="47" spans="1:4">
      <c r="A47" t="s">
        <v>132</v>
      </c>
      <c r="B47" t="s">
        <v>138</v>
      </c>
      <c r="C47" s="10">
        <v>168</v>
      </c>
      <c r="D47" t="s">
        <v>134</v>
      </c>
    </row>
    <row r="48" spans="1:4">
      <c r="A48" t="s">
        <v>132</v>
      </c>
      <c r="B48" t="s">
        <v>139</v>
      </c>
      <c r="C48" s="10">
        <v>106</v>
      </c>
      <c r="D48" t="s">
        <v>140</v>
      </c>
    </row>
    <row r="49" spans="1:4">
      <c r="A49" t="s">
        <v>132</v>
      </c>
      <c r="B49" t="s">
        <v>141</v>
      </c>
      <c r="C49" s="10">
        <v>68.25</v>
      </c>
      <c r="D49" t="s">
        <v>136</v>
      </c>
    </row>
    <row r="50" spans="1:4">
      <c r="A50" t="s">
        <v>132</v>
      </c>
      <c r="B50" t="s">
        <v>142</v>
      </c>
      <c r="C50" s="10">
        <v>65</v>
      </c>
      <c r="D50" t="s">
        <v>136</v>
      </c>
    </row>
    <row r="51" spans="1:4">
      <c r="A51" t="s">
        <v>132</v>
      </c>
      <c r="B51" t="s">
        <v>143</v>
      </c>
      <c r="C51" s="10">
        <v>409</v>
      </c>
      <c r="D51" t="s">
        <v>144</v>
      </c>
    </row>
    <row r="52" spans="1:4">
      <c r="A52" t="s">
        <v>132</v>
      </c>
      <c r="B52" t="s">
        <v>145</v>
      </c>
      <c r="C52" s="10">
        <v>177</v>
      </c>
      <c r="D52" t="s">
        <v>136</v>
      </c>
    </row>
    <row r="53" spans="1:4">
      <c r="A53" t="s">
        <v>132</v>
      </c>
      <c r="B53" t="s">
        <v>146</v>
      </c>
      <c r="C53" s="10">
        <v>160</v>
      </c>
      <c r="D53" t="s">
        <v>136</v>
      </c>
    </row>
    <row r="54" spans="1:4">
      <c r="A54" t="s">
        <v>132</v>
      </c>
      <c r="B54" t="s">
        <v>147</v>
      </c>
      <c r="C54" s="10">
        <v>210</v>
      </c>
      <c r="D54" t="s">
        <v>148</v>
      </c>
    </row>
    <row r="55" spans="1:4">
      <c r="A55" t="s">
        <v>132</v>
      </c>
      <c r="B55" t="s">
        <v>149</v>
      </c>
      <c r="C55" s="10">
        <v>240</v>
      </c>
      <c r="D55" t="s">
        <v>148</v>
      </c>
    </row>
    <row r="56" ht="16.5" customHeight="1" spans="1:4">
      <c r="B56" s="11" t="s">
        <v>30</v>
      </c>
      <c r="C56" s="12">
        <f>SUM(C44:C55)</f>
        <v>1991.25</v>
      </c>
    </row>
    <row r="58" ht="15" customHeight="1" spans="1:4">
      <c r="A58" s="8" t="s">
        <v>31</v>
      </c>
      <c r="B58" s="9"/>
      <c r="C58" s="9"/>
      <c r="D58" s="9"/>
    </row>
    <row r="59" spans="1:4">
      <c r="A59" t="s">
        <v>33</v>
      </c>
      <c r="B59" t="s">
        <v>150</v>
      </c>
      <c r="C59" s="10">
        <v>20</v>
      </c>
      <c r="D59" t="s">
        <v>151</v>
      </c>
    </row>
    <row r="60" spans="1:4">
      <c r="A60" t="s">
        <v>33</v>
      </c>
      <c r="B60" t="s">
        <v>152</v>
      </c>
      <c r="C60" s="10">
        <v>35</v>
      </c>
      <c r="D60" t="s">
        <v>151</v>
      </c>
    </row>
    <row r="61" spans="1:4">
      <c r="A61" t="s">
        <v>33</v>
      </c>
      <c r="B61" t="s">
        <v>153</v>
      </c>
      <c r="C61" s="10">
        <v>40.5</v>
      </c>
      <c r="D61" t="s">
        <v>154</v>
      </c>
    </row>
    <row r="62" spans="1:4">
      <c r="A62" t="s">
        <v>33</v>
      </c>
      <c r="B62" t="s">
        <v>155</v>
      </c>
      <c r="C62" s="10">
        <v>109</v>
      </c>
      <c r="D62" t="s">
        <v>156</v>
      </c>
    </row>
    <row r="63" spans="1:4">
      <c r="A63" t="s">
        <v>33</v>
      </c>
      <c r="B63" t="s">
        <v>157</v>
      </c>
      <c r="C63" s="10">
        <v>48</v>
      </c>
      <c r="D63" t="s">
        <v>156</v>
      </c>
    </row>
    <row r="64" spans="1:4">
      <c r="A64" t="s">
        <v>33</v>
      </c>
      <c r="B64" t="s">
        <v>158</v>
      </c>
      <c r="C64" s="10">
        <v>14</v>
      </c>
      <c r="D64" t="s">
        <v>156</v>
      </c>
    </row>
    <row r="65" spans="1:4">
      <c r="A65" t="s">
        <v>33</v>
      </c>
      <c r="B65" t="s">
        <v>159</v>
      </c>
      <c r="C65" s="10">
        <v>10</v>
      </c>
      <c r="D65" t="s">
        <v>156</v>
      </c>
    </row>
    <row r="66" ht="16.5" customHeight="1" spans="1:4">
      <c r="B66" s="11" t="s">
        <v>32</v>
      </c>
      <c r="C66" s="12">
        <f>SUM(C59:C65)</f>
        <v>276.5</v>
      </c>
    </row>
    <row r="68" ht="15" customHeight="1" spans="1:4">
      <c r="B68" s="3" t="s">
        <v>160</v>
      </c>
      <c r="C68" s="13">
        <f>C18+C41+C56+C66</f>
        <v>6455.7</v>
      </c>
    </row>
    <row r="70" ht="18" customHeight="1" spans="1:4">
      <c r="A70" s="14" t="s">
        <v>161</v>
      </c>
    </row>
    <row r="71" ht="15" customHeight="1" spans="1:4">
      <c r="A71" s="7" t="s">
        <v>37</v>
      </c>
      <c r="B71" s="7" t="s">
        <v>38</v>
      </c>
      <c r="C71" s="7" t="s">
        <v>3</v>
      </c>
      <c r="D71" s="7" t="s">
        <v>4</v>
      </c>
    </row>
    <row r="72" ht="15" customHeight="1" spans="1:4">
      <c r="A72" s="8" t="s">
        <v>39</v>
      </c>
      <c r="B72" s="9"/>
      <c r="C72" s="9"/>
      <c r="D72" s="9"/>
    </row>
    <row r="73" spans="1:4">
      <c r="A73" t="s">
        <v>162</v>
      </c>
      <c r="B73" t="s">
        <v>163</v>
      </c>
      <c r="C73" s="10">
        <v>85.5</v>
      </c>
      <c r="D73" t="s">
        <v>164</v>
      </c>
    </row>
    <row r="74" spans="1:4">
      <c r="A74" t="s">
        <v>162</v>
      </c>
      <c r="B74" t="s">
        <v>165</v>
      </c>
      <c r="C74" s="10">
        <v>161.5</v>
      </c>
      <c r="D74" t="s">
        <v>166</v>
      </c>
    </row>
    <row r="75" spans="1:4">
      <c r="A75" t="s">
        <v>162</v>
      </c>
      <c r="B75" t="s">
        <v>167</v>
      </c>
      <c r="C75" s="10">
        <v>123.5</v>
      </c>
      <c r="D75" t="s">
        <v>166</v>
      </c>
    </row>
    <row r="76" spans="1:4">
      <c r="A76" t="s">
        <v>162</v>
      </c>
      <c r="B76" t="s">
        <v>168</v>
      </c>
      <c r="C76" s="10">
        <v>9.5</v>
      </c>
      <c r="D76" t="s">
        <v>166</v>
      </c>
    </row>
    <row r="77" spans="1:4">
      <c r="A77" t="s">
        <v>162</v>
      </c>
      <c r="B77" t="s">
        <v>169</v>
      </c>
      <c r="C77" s="10">
        <v>115</v>
      </c>
      <c r="D77" t="s">
        <v>166</v>
      </c>
    </row>
    <row r="78" spans="1:4">
      <c r="A78" t="s">
        <v>162</v>
      </c>
      <c r="B78" t="s">
        <v>170</v>
      </c>
      <c r="C78" s="10">
        <v>9.5</v>
      </c>
      <c r="D78" t="s">
        <v>166</v>
      </c>
    </row>
    <row r="79" spans="1:4">
      <c r="A79" t="s">
        <v>162</v>
      </c>
      <c r="B79" t="s">
        <v>171</v>
      </c>
      <c r="C79" s="10">
        <v>133</v>
      </c>
      <c r="D79" t="s">
        <v>166</v>
      </c>
    </row>
    <row r="80" spans="1:4">
      <c r="A80" t="s">
        <v>162</v>
      </c>
      <c r="B80" t="s">
        <v>172</v>
      </c>
      <c r="C80" s="10">
        <v>66.5</v>
      </c>
      <c r="D80" t="s">
        <v>166</v>
      </c>
    </row>
    <row r="81" spans="1:4">
      <c r="A81" t="s">
        <v>162</v>
      </c>
      <c r="B81" t="s">
        <v>173</v>
      </c>
      <c r="C81" s="10">
        <v>14.5</v>
      </c>
      <c r="D81" t="s">
        <v>166</v>
      </c>
    </row>
    <row r="82" spans="1:4">
      <c r="A82" t="s">
        <v>162</v>
      </c>
      <c r="B82" t="s">
        <v>174</v>
      </c>
      <c r="C82" s="10">
        <v>14.5</v>
      </c>
      <c r="D82" t="s">
        <v>166</v>
      </c>
    </row>
    <row r="83" spans="1:4">
      <c r="A83" t="s">
        <v>162</v>
      </c>
      <c r="B83" t="s">
        <v>175</v>
      </c>
      <c r="C83" s="10">
        <v>9.5</v>
      </c>
      <c r="D83" t="s">
        <v>166</v>
      </c>
    </row>
    <row r="84" spans="1:4">
      <c r="A84" t="s">
        <v>162</v>
      </c>
      <c r="B84" t="s">
        <v>176</v>
      </c>
      <c r="C84" s="10">
        <v>9.5</v>
      </c>
      <c r="D84" t="s">
        <v>166</v>
      </c>
    </row>
    <row r="85" spans="1:4">
      <c r="A85" t="s">
        <v>162</v>
      </c>
      <c r="B85" t="s">
        <v>177</v>
      </c>
      <c r="C85" s="10">
        <v>14</v>
      </c>
      <c r="D85" t="s">
        <v>166</v>
      </c>
    </row>
    <row r="86" spans="1:4">
      <c r="A86" t="s">
        <v>162</v>
      </c>
      <c r="B86" t="s">
        <v>178</v>
      </c>
      <c r="C86" s="10">
        <v>9.5</v>
      </c>
      <c r="D86" t="s">
        <v>166</v>
      </c>
    </row>
    <row r="87" ht="16.5" customHeight="1" spans="1:4">
      <c r="B87" s="11" t="s">
        <v>42</v>
      </c>
      <c r="C87" s="12">
        <f>SUM(C73:C86)</f>
        <v>775.5</v>
      </c>
    </row>
    <row r="89" ht="15" customHeight="1" spans="1:4">
      <c r="A89" s="8" t="s">
        <v>43</v>
      </c>
      <c r="B89" s="9"/>
      <c r="C89" s="9"/>
      <c r="D89" s="9"/>
    </row>
    <row r="90" spans="1:4">
      <c r="A90" t="s">
        <v>44</v>
      </c>
      <c r="B90" t="s">
        <v>179</v>
      </c>
      <c r="C90" s="10">
        <v>202</v>
      </c>
      <c r="D90" t="s">
        <v>180</v>
      </c>
    </row>
    <row r="91" spans="1:4">
      <c r="A91" t="s">
        <v>44</v>
      </c>
      <c r="B91" t="s">
        <v>181</v>
      </c>
      <c r="C91" s="10">
        <v>67.45</v>
      </c>
      <c r="D91" t="s">
        <v>182</v>
      </c>
    </row>
    <row r="92" spans="1:4">
      <c r="A92" t="s">
        <v>44</v>
      </c>
      <c r="B92" t="s">
        <v>183</v>
      </c>
      <c r="C92" s="10">
        <v>67.45</v>
      </c>
      <c r="D92" t="s">
        <v>182</v>
      </c>
    </row>
    <row r="93" spans="1:4">
      <c r="A93" t="s">
        <v>44</v>
      </c>
      <c r="B93" t="s">
        <v>184</v>
      </c>
      <c r="C93" s="10">
        <v>66.78</v>
      </c>
      <c r="D93" t="s">
        <v>182</v>
      </c>
    </row>
    <row r="94" spans="1:4">
      <c r="A94" t="s">
        <v>44</v>
      </c>
      <c r="B94" t="s">
        <v>185</v>
      </c>
      <c r="C94" s="10">
        <v>66.78</v>
      </c>
      <c r="D94" t="s">
        <v>182</v>
      </c>
    </row>
    <row r="95" spans="1:4">
      <c r="A95" t="s">
        <v>44</v>
      </c>
      <c r="B95" t="s">
        <v>186</v>
      </c>
      <c r="C95" s="10">
        <v>66.02</v>
      </c>
      <c r="D95" t="s">
        <v>182</v>
      </c>
    </row>
    <row r="96" spans="1:4">
      <c r="A96" t="s">
        <v>44</v>
      </c>
      <c r="B96" t="s">
        <v>187</v>
      </c>
      <c r="C96" s="10">
        <v>65.55</v>
      </c>
      <c r="D96" t="s">
        <v>182</v>
      </c>
    </row>
    <row r="97" spans="1:4">
      <c r="A97" t="s">
        <v>44</v>
      </c>
      <c r="B97" t="s">
        <v>188</v>
      </c>
      <c r="C97" s="10">
        <v>66.02</v>
      </c>
      <c r="D97" t="s">
        <v>182</v>
      </c>
    </row>
    <row r="98" spans="1:4">
      <c r="A98" t="s">
        <v>44</v>
      </c>
      <c r="B98" t="s">
        <v>189</v>
      </c>
      <c r="C98" s="10">
        <v>69.2</v>
      </c>
      <c r="D98" t="s">
        <v>182</v>
      </c>
    </row>
    <row r="99" spans="1:4">
      <c r="A99" t="s">
        <v>44</v>
      </c>
      <c r="B99" t="s">
        <v>190</v>
      </c>
      <c r="C99" s="10">
        <v>68</v>
      </c>
      <c r="D99" t="s">
        <v>182</v>
      </c>
    </row>
    <row r="100" spans="1:4">
      <c r="A100" t="s">
        <v>44</v>
      </c>
      <c r="B100" t="s">
        <v>191</v>
      </c>
      <c r="C100" s="10">
        <v>41</v>
      </c>
      <c r="D100" t="s">
        <v>182</v>
      </c>
    </row>
    <row r="101" spans="1:4">
      <c r="A101" t="s">
        <v>44</v>
      </c>
      <c r="B101" t="s">
        <v>192</v>
      </c>
      <c r="C101" s="10">
        <v>67.7</v>
      </c>
      <c r="D101" t="s">
        <v>182</v>
      </c>
    </row>
    <row r="102" spans="1:4">
      <c r="A102" t="s">
        <v>44</v>
      </c>
      <c r="B102" t="s">
        <v>193</v>
      </c>
      <c r="C102" s="10">
        <v>68</v>
      </c>
      <c r="D102" t="s">
        <v>182</v>
      </c>
    </row>
    <row r="103" spans="1:4">
      <c r="A103" t="s">
        <v>44</v>
      </c>
      <c r="B103" t="s">
        <v>194</v>
      </c>
      <c r="C103" s="10">
        <v>41.82</v>
      </c>
      <c r="D103" t="s">
        <v>182</v>
      </c>
    </row>
    <row r="104" spans="1:4">
      <c r="A104" t="s">
        <v>44</v>
      </c>
      <c r="B104" t="s">
        <v>195</v>
      </c>
      <c r="C104" s="10">
        <v>197</v>
      </c>
      <c r="D104" t="s">
        <v>182</v>
      </c>
    </row>
    <row r="105" spans="1:4">
      <c r="A105" t="s">
        <v>44</v>
      </c>
      <c r="B105" t="s">
        <v>196</v>
      </c>
      <c r="C105" s="10">
        <v>25.84</v>
      </c>
      <c r="D105" t="s">
        <v>182</v>
      </c>
    </row>
    <row r="106" spans="1:4">
      <c r="A106" t="s">
        <v>44</v>
      </c>
      <c r="B106" t="s">
        <v>197</v>
      </c>
      <c r="C106" s="10">
        <v>191.9</v>
      </c>
      <c r="D106" t="s">
        <v>182</v>
      </c>
    </row>
    <row r="107" spans="1:4">
      <c r="A107" t="s">
        <v>44</v>
      </c>
      <c r="B107" t="s">
        <v>198</v>
      </c>
      <c r="C107" s="10">
        <v>111</v>
      </c>
      <c r="D107" t="s">
        <v>182</v>
      </c>
    </row>
    <row r="108" spans="1:4">
      <c r="A108" t="s">
        <v>44</v>
      </c>
      <c r="B108" t="s">
        <v>199</v>
      </c>
      <c r="C108" s="10">
        <v>65</v>
      </c>
      <c r="D108" t="s">
        <v>182</v>
      </c>
    </row>
    <row r="109" spans="1:4">
      <c r="A109" t="s">
        <v>44</v>
      </c>
      <c r="B109" t="s">
        <v>200</v>
      </c>
      <c r="C109" s="10">
        <v>65</v>
      </c>
      <c r="D109" t="s">
        <v>182</v>
      </c>
    </row>
    <row r="110" ht="16.5" customHeight="1" spans="1:4">
      <c r="B110" s="11" t="s">
        <v>54</v>
      </c>
      <c r="C110" s="12">
        <f>SUM(C90:C109)</f>
        <v>1679.51</v>
      </c>
    </row>
    <row r="112" ht="15" customHeight="1" spans="1:4">
      <c r="B112" s="3" t="s">
        <v>201</v>
      </c>
      <c r="C112" s="13">
        <f>C87+C110</f>
        <v>2455.01</v>
      </c>
    </row>
    <row r="114" spans="1:1">
      <c r="A114" t="s">
        <v>202</v>
      </c>
    </row>
  </sheetData>
  <mergeCells count="3">
    <mergeCell ref="A1:D1"/>
    <mergeCell ref="A2:D2"/>
    <mergeCell ref="A114:D1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支出明细表</vt:lpstr>
      <vt:lpstr>游戏变现收入明细表</vt:lpstr>
      <vt:lpstr>成本核算汇总表</vt:lpstr>
      <vt:lpstr>历史坏账归档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utsuku</cp:lastModifiedBy>
  <dcterms:created xsi:type="dcterms:W3CDTF">2026-07-24T07:19:00Z</dcterms:created>
  <dcterms:modified xsi:type="dcterms:W3CDTF">2026-10-19T02:15:11Z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5AD09BDA83BE459CA7C2717B385EB23C_12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